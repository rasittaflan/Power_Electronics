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00_Ana_Ozet_Karsilastirma" sheetId="1" state="visible" r:id="rId3"/>
    <sheet name="01_Buck" sheetId="2" state="visible" r:id="rId4"/>
    <sheet name="02_Boost" sheetId="3" state="visible" r:id="rId5"/>
    <sheet name="03_Inv_BuckBoost" sheetId="4" state="visible" r:id="rId6"/>
    <sheet name="04_SEPIC" sheetId="5" state="visible" r:id="rId7"/>
    <sheet name="05_Cuk" sheetId="6" state="visible" r:id="rId8"/>
    <sheet name="06_Zeta" sheetId="7" state="visible" r:id="rId9"/>
    <sheet name="07_Flyback" sheetId="8" state="visible" r:id="rId10"/>
    <sheet name="08_2Sw_Flyback" sheetId="9" state="visible" r:id="rId11"/>
    <sheet name="09_ActClamp_Forward" sheetId="10" state="visible" r:id="rId12"/>
    <sheet name="10_1Sw_Forward" sheetId="11" state="visible" r:id="rId13"/>
    <sheet name="11_2Sw_Forward" sheetId="12" state="visible" r:id="rId14"/>
    <sheet name="12_Push_Pull" sheetId="13" state="visible" r:id="rId15"/>
    <sheet name="13_Weinberg" sheetId="14" state="visible" r:id="rId16"/>
    <sheet name="14_Half_Bridge" sheetId="15" state="visible" r:id="rId17"/>
    <sheet name="15_Full_Bridge" sheetId="16" state="visible" r:id="rId18"/>
    <sheet name="16_PSFB_ZV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<sst xmlns="http://schemas.openxmlformats.org/spreadsheetml/2006/main" count="3468" uniqueCount="1277">
  <si>
    <t xml:space="preserve">GÜÇ KAYNAĞI TOPOLOJİLERİ ANA REFERANS VE KARŞILAŞTIRMA KILAVUZU (16 TOPOLOJİ — TI SLYU036A &amp; SLYW038B)</t>
  </si>
  <si>
    <t xml:space="preserve">Her topolojinin canlı hesaplama sayfasına ilgili sekmeden geçebilirsiniz. Sarı hücrelerdeki V_in, V_out, I_out ve f_sw değerlerini değiştirdiğinizde tüm devre elemanları otomatik hesaplanır.</t>
  </si>
  <si>
    <t xml:space="preserve">SEKME NO &amp; TOPOLOJİ ADI</t>
  </si>
  <si>
    <t xml:space="preserve">İZOLASYON &amp; TİP</t>
  </si>
  <si>
    <t xml:space="preserve">TİPİK GÜÇ ARALIĞI</t>
  </si>
  <si>
    <t xml:space="preserve">GERİLİM TRANSFER FONKSİYONU M(D) (UNICODE)</t>
  </si>
  <si>
    <t xml:space="preserve">LATEX TRANSFER FONKSİYONU</t>
  </si>
  <si>
    <t xml:space="preserve">MOSFET GERİLİM STRESİ (V_DS,max)</t>
  </si>
  <si>
    <t xml:space="preserve">DİYOT TERS GERİLİM STRESİ (V_R,max)</t>
  </si>
  <si>
    <t xml:space="preserve">SAĞ YARI DÜZLEM SIFIRI (RHPZ)</t>
  </si>
  <si>
    <t xml:space="preserve">BAŞLICA AVANTAJLAR VE ÖZELLİKLER</t>
  </si>
  <si>
    <t xml:space="preserve">TI ÖRNEK KONTROLCÜ ENTEGRELERİ (SLYW038B)</t>
  </si>
  <si>
    <t xml:space="preserve">01_Buck (Alçaltıcı)</t>
  </si>
  <si>
    <t xml:space="preserve">İzolesiz (DC-DC)</t>
  </si>
  <si>
    <t xml:space="preserve">1 W – 500 W</t>
  </si>
  <si>
    <t xml:space="preserve">V_out / V_in = D</t>
  </si>
  <si>
    <t xml:space="preserve">$\frac{V_{out}}{V_{in}} = D$</t>
  </si>
  <si>
    <t xml:space="preserve">V_in,max</t>
  </si>
  <si>
    <t xml:space="preserve">Yok (Minimum Fazlı)</t>
  </si>
  <si>
    <t xml:space="preserve">En yüksek verim, basit yapı, düşük çıkış ripple, kolay kompanzasyon</t>
  </si>
  <si>
    <t xml:space="preserve">TPS54560, LM5116, TPS54331, TPS62130</t>
  </si>
  <si>
    <t xml:space="preserve">02_Boost (Yükseltici)</t>
  </si>
  <si>
    <t xml:space="preserve">1 W – 300 W</t>
  </si>
  <si>
    <t xml:space="preserve">V_out / V_in = 1 / (1 − D)</t>
  </si>
  <si>
    <t xml:space="preserve">$\frac{V_{out}}{V_{in}} = \frac{1}{1 - D}$</t>
  </si>
  <si>
    <t xml:space="preserve">V_out + V_f</t>
  </si>
  <si>
    <t xml:space="preserve">Var: f_RHPZ = (1−D)²·R_load / (2π·L)</t>
  </si>
  <si>
    <t xml:space="preserve">Sürekli giriş akımı, düşük giriş EMI filtresi, PFC katları için standart</t>
  </si>
  <si>
    <t xml:space="preserve">LM5122, TPS40210, TPS55340, LM3478</t>
  </si>
  <si>
    <t xml:space="preserve">03_Inv_BuckBoost (Eviren)</t>
  </si>
  <si>
    <t xml:space="preserve">İzolesiz (Negatif Çıkış)</t>
  </si>
  <si>
    <t xml:space="preserve">1 W – 150 W</t>
  </si>
  <si>
    <t xml:space="preserve">V_out / V_in = −D / (1 − D)</t>
  </si>
  <si>
    <t xml:space="preserve">$\frac{V_{out}}{V_{in}} = -\frac{D}{1 - D}$</t>
  </si>
  <si>
    <t xml:space="preserve">V_in,max + |V_out|</t>
  </si>
  <si>
    <t xml:space="preserve">Var: f_RHPZ = (1−D)²·R / (2π·D·L)</t>
  </si>
  <si>
    <t xml:space="preserve">Tek bobinle hem alçaltma hem yükseltme, negatif besleme (-12V/-15V) üretimi</t>
  </si>
  <si>
    <t xml:space="preserve">TPS5430, LM5160, TPS54360 (Eviren Mod)</t>
  </si>
  <si>
    <t xml:space="preserve">04_SEPIC (Pozitif Buck-Boost)</t>
  </si>
  <si>
    <t xml:space="preserve">İzolesiz (Çift Bobin)</t>
  </si>
  <si>
    <t xml:space="preserve">5 W – 200 W</t>
  </si>
  <si>
    <t xml:space="preserve">V_out / V_in = D / (1 − D)</t>
  </si>
  <si>
    <t xml:space="preserve">$\frac{V_{out}}{V_{in}} = \frac{D}{1 - D}$</t>
  </si>
  <si>
    <t xml:space="preserve">V_in,max + V_out + V_f</t>
  </si>
  <si>
    <t xml:space="preserve">V_in,max + V_out</t>
  </si>
  <si>
    <t xml:space="preserve">Var: f_RHPZ = (1−D)²·R / (2π·D·L_eq)</t>
  </si>
  <si>
    <t xml:space="preserve">Pozitif çıkışlı alçaltıcı/yükseltici, sürekli giriş akımı, seri kuplaj kapasitörü kısa devre koruması</t>
  </si>
  <si>
    <t xml:space="preserve">LM5155, LM3481, TPS40210, LM5022</t>
  </si>
  <si>
    <t xml:space="preserve">05_Cuk (Kapasitif Aktarımlı)</t>
  </si>
  <si>
    <t xml:space="preserve">V_in,max + |V_out| + V_f</t>
  </si>
  <si>
    <t xml:space="preserve">Var (Kapasitif Enerji Aktarımı)</t>
  </si>
  <si>
    <t xml:space="preserve">Hem giriş hem çıkış akımı sürekli (en düşük EMI ve ripple), kuplajlı tek nüveye sarılabilir</t>
  </si>
  <si>
    <t xml:space="preserve">LM2611, TPS40210, LM5155</t>
  </si>
  <si>
    <t xml:space="preserve">06_Zeta (Ters SEPIC)</t>
  </si>
  <si>
    <t xml:space="preserve">İzolesiz (Pozitif Çıkış)</t>
  </si>
  <si>
    <t xml:space="preserve">Yok! (Çıkışta L2 bobini sürekli akımda)</t>
  </si>
  <si>
    <t xml:space="preserve">Pozitif buck-boost, RHPZ içermediği için SEPIC'e göre çok daha hızlı geçici (transient) yanıt</t>
  </si>
  <si>
    <t xml:space="preserve">LM5118, TPS40200, LM5085</t>
  </si>
  <si>
    <t xml:space="preserve">07_Flyback (Tek Anahtarlı)</t>
  </si>
  <si>
    <t xml:space="preserve">İzoleli (Birleşik Trafo-Bobin)</t>
  </si>
  <si>
    <t xml:space="preserve">V_out / V_in = (1/n) · [D / (1 − D)]</t>
  </si>
  <si>
    <t xml:space="preserve">$\frac{V_{out}}{V_{in}} = \frac{N_s}{N_p} \frac{D}{1 - D}$</t>
  </si>
  <si>
    <t xml:space="preserve">V_in,max + n·(V_out + V_f) + V_snub</t>
  </si>
  <si>
    <t xml:space="preserve">V_out + V_in,max / n</t>
  </si>
  <si>
    <t xml:space="preserve">Var (CCM modunda): f_RHPZ = (1−D)²·R / (2π·D·L_m·(1/n²))</t>
  </si>
  <si>
    <t xml:space="preserve">En az eleman sayılı izole topoloji, çoklu çıkışa uygun, evrensel AC-DC adaptör standardı</t>
  </si>
  <si>
    <t xml:space="preserve">UCC28740, UCC28780, LM5021, UCC28C43</t>
  </si>
  <si>
    <t xml:space="preserve">08_2Sw_Flyback (Çift Anahtarlı)</t>
  </si>
  <si>
    <t xml:space="preserve">İzoleli (Clamplı Flyback)</t>
  </si>
  <si>
    <t xml:space="preserve">30 W – 250 W</t>
  </si>
  <si>
    <t xml:space="preserve">V_out / V_in = (1/n) · [D / (1 − D)] (D &lt; 0.5)</t>
  </si>
  <si>
    <t xml:space="preserve">V_in,max (Clamping diyotları ile sınırlı)</t>
  </si>
  <si>
    <t xml:space="preserve">Var (CCM modunda)</t>
  </si>
  <si>
    <t xml:space="preserve">RCD snubber kaybı yoktur; kaçak endüktans enerjisi 2 diyotla giriş barasına geri kazanılır</t>
  </si>
  <si>
    <t xml:space="preserve">UCC28C44, LM5021 + High-Side Driver</t>
  </si>
  <si>
    <t xml:space="preserve">09_ActClamp_Forward (Aktif Clamp)</t>
  </si>
  <si>
    <t xml:space="preserve">İzoleli (ZVS Forward)</t>
  </si>
  <si>
    <t xml:space="preserve">50 W – 400 W</t>
  </si>
  <si>
    <t xml:space="preserve">V_out / V_in = (1/n) · D</t>
  </si>
  <si>
    <t xml:space="preserve">$\frac{V_{out}}{V_{in}} = \frac{N_s}{N_p} D$</t>
  </si>
  <si>
    <t xml:space="preserve">V_in,max / (1 − D)</t>
  </si>
  <si>
    <t xml:space="preserve">V_in,max / (n · (1 − D))</t>
  </si>
  <si>
    <t xml:space="preserve">Yok (Buck türevi transfer fonksiyonu)</t>
  </si>
  <si>
    <t xml:space="preserve">D &gt; 0.5 çalışabilir, trafo 1. ve 3. bölgede simetrik sıfırlanır, ZVS yumuşak anahtarlama sağlar</t>
  </si>
  <si>
    <t xml:space="preserve">UCC2897A, LM5025, LM5026</t>
  </si>
  <si>
    <t xml:space="preserve">10_1Sw_Forward (Tek Anahtarlı)</t>
  </si>
  <si>
    <t xml:space="preserve">İzoleli (Sıfırlama Sargılı)</t>
  </si>
  <si>
    <t xml:space="preserve">V_in,max · (1 + N_p / N_r)</t>
  </si>
  <si>
    <t xml:space="preserve">V_in,max / n</t>
  </si>
  <si>
    <t xml:space="preserve">Yok (Minimum fazlı)</t>
  </si>
  <si>
    <t xml:space="preserve">Düşük çıkış ripple, yüksek akımlı düşük gerilim çıkışlarda Flyback'ten çok daha verimlidir</t>
  </si>
  <si>
    <t xml:space="preserve">UCC28C43, LM5020, TPS40200</t>
  </si>
  <si>
    <t xml:space="preserve">11_2Sw_Forward (Çift Anahtarlı)</t>
  </si>
  <si>
    <t xml:space="preserve">İzoleli (Sıfırlama Diyotlu)</t>
  </si>
  <si>
    <t xml:space="preserve">100 W – 500 W</t>
  </si>
  <si>
    <t xml:space="preserve">V_out / V_in = (1/n) · D (D &lt; 0.5)</t>
  </si>
  <si>
    <t xml:space="preserve">V_in,max (Tam V_in'e kenetlenir)</t>
  </si>
  <si>
    <t xml:space="preserve">MOSFET gerilim stresi V_in,max'ı asla aşmaz, ekstra sıfırlama sargısı gerektirmez, çok güvenilir</t>
  </si>
  <si>
    <t xml:space="preserve">UCC28528, LM5015, UCC28C44</t>
  </si>
  <si>
    <t xml:space="preserve">12_Push_Pull (İt-Çek)</t>
  </si>
  <si>
    <t xml:space="preserve">İzoleli (Orta Uçlu Primer)</t>
  </si>
  <si>
    <t xml:space="preserve">100 W – 1000 W</t>
  </si>
  <si>
    <t xml:space="preserve">V_out / V_in = (1/n) · 2D (D &lt; 0.5)</t>
  </si>
  <si>
    <t xml:space="preserve">$\frac{V_{out}}{V_{in}} = 2 \frac{N_s}{N_p} D$</t>
  </si>
  <si>
    <t xml:space="preserve">2 · V_in,max</t>
  </si>
  <si>
    <t xml:space="preserve">2 · V_in,max / n</t>
  </si>
  <si>
    <t xml:space="preserve">Yok (İki kat etkin ripple frekansı 2·f_sw)</t>
  </si>
  <si>
    <t xml:space="preserve">İki anahtar da kaynak (source) referanslıdır (High-side sürücü gerekmez), trafo çift yönlü kullanılır</t>
  </si>
  <si>
    <t xml:space="preserve">UCC28083, LM5030, TL494, UC3525</t>
  </si>
  <si>
    <t xml:space="preserve">13_Weinberg (Akım Beslemeli)</t>
  </si>
  <si>
    <t xml:space="preserve">İzoleli (Uzay &amp; Havacılık)</t>
  </si>
  <si>
    <t xml:space="preserve">100 W – 1500 W</t>
  </si>
  <si>
    <t xml:space="preserve">V_out / V_in = 1 / [n_s · (1 − 2D·(1 − 1/n_p))]</t>
  </si>
  <si>
    <t xml:space="preserve">$\frac{V_{out}}{V_{in}} = \frac{1}{n_s [1 - D(1 - 1/n_p)]}$</t>
  </si>
  <si>
    <t xml:space="preserve">V_in,max · (1 + n_p) + n_p·n_s·V_out</t>
  </si>
  <si>
    <t xml:space="preserve">V_out + V_in,max / n_s</t>
  </si>
  <si>
    <t xml:space="preserve">Yok (Akım beslemeli doğal kısa devre korumalı)</t>
  </si>
  <si>
    <t xml:space="preserve">Doğrudan aşırı akım/kısa devre dayanımı, sürekli giriş akımı, uydu/uzay güç barası standardı</t>
  </si>
  <si>
    <t xml:space="preserve">LM5030, UC1825 (Uzay/Askeri Sınıf)</t>
  </si>
  <si>
    <t xml:space="preserve">14_Half_Bridge (Yarım Köprü)</t>
  </si>
  <si>
    <t xml:space="preserve">İzoleli (Kapasitif Bölücülü)</t>
  </si>
  <si>
    <t xml:space="preserve">150 W – 1200 W</t>
  </si>
  <si>
    <t xml:space="preserve">V_out / V_in = (1/n) · D (Etkin 2·(D/2)·(V_in/2))</t>
  </si>
  <si>
    <t xml:space="preserve">Yok (2·f_sw etkin çıkış indüktör frekansı)</t>
  </si>
  <si>
    <t xml:space="preserve">MOSFET stresi V_in,max kadardır (Push-Pull'un yarısı), yüksek giriş gerilimlerinde (400V PFC) ideal</t>
  </si>
  <si>
    <t xml:space="preserve">UCC28084, LM5035, UCC25600</t>
  </si>
  <si>
    <t xml:space="preserve">15_Full_Bridge (Tam Köprü)</t>
  </si>
  <si>
    <t xml:space="preserve">İzoleli (4 Anahtarlı)</t>
  </si>
  <si>
    <t xml:space="preserve">500 W – 5000 W+</t>
  </si>
  <si>
    <t xml:space="preserve">Yok (2·f_sw etkin çıkış frekansı)</t>
  </si>
  <si>
    <t xml:space="preserve">Yarım köprüye göre 2 kat güç kapasitesi, primer akımı yarım köprünün yarısıdır</t>
  </si>
  <si>
    <t xml:space="preserve">LM5045, LM5046, UCC28950</t>
  </si>
  <si>
    <t xml:space="preserve">16_PSFB (Faz Kaydırmalı ZVS)</t>
  </si>
  <si>
    <t xml:space="preserve">İzoleli (Yumuşak Anahtarlamalı)</t>
  </si>
  <si>
    <t xml:space="preserve">600 W – 10 kW+</t>
  </si>
  <si>
    <t xml:space="preserve">V_out / V_in = (1/n) · D_eff = (1/n) · (D − ΔD_loss)</t>
  </si>
  <si>
    <t xml:space="preserve">$\frac{V_{out}}{V_{in}} = \frac{N_s}{N_p} (D - \Delta D_{loss})$</t>
  </si>
  <si>
    <t xml:space="preserve">Yok (ZVS Sıfır Gerilimde Anahtarlama)</t>
  </si>
  <si>
    <t xml:space="preserve">Kaçak endüktans + rezonans bobini ile ZVS sağlar, yüksek güç ve yüksek frekansta (&gt;100 kHz) en yüksek verim</t>
  </si>
  <si>
    <t xml:space="preserve">UCC28950, UCC28951, UCD3138</t>
  </si>
  <si>
    <t xml:space="preserve">TOPOLOJİ 01: BUCK CONVERTER (ALÇALTICI DC-DC DÖNÜŞTÜRÜCÜ — TI SLYU036A BÖLÜM 3)</t>
  </si>
  <si>
    <t xml:space="preserve">Sürekli İletim Modu (CCM) / DCM Sınır Analizi, Bobin-Kapasitör Boyutlandırma, RMS Akımlar ve Termal/Manyetik Tasarım</t>
  </si>
  <si>
    <t xml:space="preserve">PARAMETRE / ELEMAN ADI</t>
  </si>
  <si>
    <t xml:space="preserve">DEĞER / CANLI HESAP</t>
  </si>
  <si>
    <t xml:space="preserve">BİRİM</t>
  </si>
  <si>
    <t xml:space="preserve">MATEMATİKSEL FORMÜL (UNICODE DENKLEM)</t>
  </si>
  <si>
    <t xml:space="preserve">LATEX DENKLEM FORMATI (RAPOR &amp; MAKALE İÇİN)</t>
  </si>
  <si>
    <t xml:space="preserve">MÜHENDİSLİK AÇIKLAMASI, TI SLYU036A &amp; TASARIM KRİTERİ</t>
  </si>
  <si>
    <t xml:space="preserve">1. TASARIM GİRİŞ PARAMETRELERİ (SARI HÜCRELERİ DEĞİŞTİRİN — TÜM ELEMANLAR OTOMATİK HESAPLANIR)</t>
  </si>
  <si>
    <t xml:space="preserve">Nominal Giriş Gerilimi (V_in,nom)</t>
  </si>
  <si>
    <t xml:space="preserve">V</t>
  </si>
  <si>
    <t xml:space="preserve">Giriş Değişkeni #1</t>
  </si>
  <si>
    <t xml:space="preserve">$V_{in,nom}$</t>
  </si>
  <si>
    <t xml:space="preserve">Normal çalışma barası DC giriş gerilimi</t>
  </si>
  <si>
    <t xml:space="preserve">Minimum Giriş Gerilimi (V_in,min)</t>
  </si>
  <si>
    <t xml:space="preserve">Giriş Değişkeni #2</t>
  </si>
  <si>
    <t xml:space="preserve">$V_{in,min}$</t>
  </si>
  <si>
    <r>
      <rPr>
        <sz val="9.5"/>
        <color rgb="FF334155"/>
        <rFont val="Segoe UI"/>
        <family val="0"/>
      </rPr>
      <t xml:space="preserve">En yüksek anahtar akımı ve maksimum görev </t>
    </r>
    <r>
      <rPr>
        <sz val="9.5"/>
        <color rgb="FF334155"/>
        <rFont val="Noto Sans Devanagari"/>
        <family val="2"/>
      </rPr>
      <t xml:space="preserve">चक्र </t>
    </r>
    <r>
      <rPr>
        <sz val="9.5"/>
        <color rgb="FF334155"/>
        <rFont val="Segoe UI"/>
        <family val="0"/>
      </rPr>
      <t xml:space="preserve">(D_max) noktası</t>
    </r>
  </si>
  <si>
    <t xml:space="preserve">Maksimum Giriş Gerilimi (V_in,max)</t>
  </si>
  <si>
    <t xml:space="preserve">Giriş Değişkeni #3</t>
  </si>
  <si>
    <t xml:space="preserve">$V_{in,max}$</t>
  </si>
  <si>
    <t xml:space="preserve">Maksimum gerilim stresi ve en yüksek indüktör akım dalgalanması noktası</t>
  </si>
  <si>
    <t xml:space="preserve">Hedef Çıkış Gerilimi (|V_out|)</t>
  </si>
  <si>
    <t xml:space="preserve">Giriş Değişkeni #4</t>
  </si>
  <si>
    <t xml:space="preserve">$|V_{out}|$</t>
  </si>
  <si>
    <t xml:space="preserve">Regüle edilen DC çıkış gerilimi mutlak değeri (Inverting/Cuk için -V_out)</t>
  </si>
  <si>
    <t xml:space="preserve">Maksimum Çıkış Yük Akımı (I_out)</t>
  </si>
  <si>
    <t xml:space="preserve">A</t>
  </si>
  <si>
    <t xml:space="preserve">Giriş Değişkeni #5</t>
  </si>
  <si>
    <t xml:space="preserve">$I_{out}$</t>
  </si>
  <si>
    <t xml:space="preserve">Tam yükteki sürekli DC çıkış akımı</t>
  </si>
  <si>
    <t xml:space="preserve">Anahtarlama Frekansı (f_sw)</t>
  </si>
  <si>
    <t xml:space="preserve">kHz</t>
  </si>
  <si>
    <t xml:space="preserve">Giriş Değişkeni #6</t>
  </si>
  <si>
    <t xml:space="preserve">$f_{sw}$</t>
  </si>
  <si>
    <t xml:space="preserve">PWM anahtarlama frekansı (1 kHz = 1000 Hz)</t>
  </si>
  <si>
    <t xml:space="preserve">Hedef İndüktör Akım Dalgalanma Oranı (r_L = ΔI_L / I_L)</t>
  </si>
  <si>
    <t xml:space="preserve">%</t>
  </si>
  <si>
    <t xml:space="preserve">Giriş Değişkeni #7</t>
  </si>
  <si>
    <t xml:space="preserve">$r_L = \frac{\Delta I_L}{I_{L,avg}} \times 100$</t>
  </si>
  <si>
    <t xml:space="preserve">Tipik tasarım aralığı %20 – %40 (CCM/DCM sınırı %200'dür)</t>
  </si>
  <si>
    <t xml:space="preserve">Hedef Çıkış Gerilim Ripple Oranı (r_V = ΔV_out / V_out)</t>
  </si>
  <si>
    <t xml:space="preserve">Giriş Değişkeni #8</t>
  </si>
  <si>
    <t xml:space="preserve">$r_V = \frac{\Delta V_{out}}{V_{out}} \times 100$</t>
  </si>
  <si>
    <t xml:space="preserve">Çıkış kapasitörü C_out ve ESR seçimi için izin verilen tepeden tepeye ripple (%)</t>
  </si>
  <si>
    <t xml:space="preserve">Diyot İletim Gerilim Düşümü (V_f / Senkron SR)</t>
  </si>
  <si>
    <t xml:space="preserve">Giriş Değişkeni #9</t>
  </si>
  <si>
    <t xml:space="preserve">$V_f$</t>
  </si>
  <si>
    <t xml:space="preserve">Schottky diyot için ~0.45V, Hızlı diyot ~0.8V, Senkron doğrultucu (SR) ~0.08V</t>
  </si>
  <si>
    <t xml:space="preserve">Tahmini Dönüştürücü Verimi (η)</t>
  </si>
  <si>
    <t xml:space="preserve">Giriş Değişkeni #10</t>
  </si>
  <si>
    <t xml:space="preserve">$\eta = \frac{P_{out}}{P_{in}} \times 100$</t>
  </si>
  <si>
    <t xml:space="preserve">Giriş akımı ve termal kayıp bütçesi hesabı için hedef verim (%)</t>
  </si>
  <si>
    <t xml:space="preserve">Trafo Sarım Oranı (n = N_p / N_s)</t>
  </si>
  <si>
    <t xml:space="preserve">Oran</t>
  </si>
  <si>
    <t xml:space="preserve">Giriş Değişkeni #11</t>
  </si>
  <si>
    <t xml:space="preserve">$n = \frac{N_p}{N_s}$</t>
  </si>
  <si>
    <t xml:space="preserve">İzoleli topolojilerde Primer/Sekonder sarım oranı (İzolesizlerde 1.00 sabit)</t>
  </si>
  <si>
    <t xml:space="preserve">MOSFET İletim Direnci (R_DS(on))</t>
  </si>
  <si>
    <t xml:space="preserve">mΩ</t>
  </si>
  <si>
    <t xml:space="preserve">Giriş Değişkeni #12</t>
  </si>
  <si>
    <t xml:space="preserve">$R_{DS(on)}$</t>
  </si>
  <si>
    <t xml:space="preserve">Seçilen güç MOSFET'inin sıcaklıktaki iletim direnci (mΩ)</t>
  </si>
  <si>
    <t xml:space="preserve">Manyetik Nüve Maks. Akı Yoğunluğu (B_max)</t>
  </si>
  <si>
    <t xml:space="preserve">Tesla</t>
  </si>
  <si>
    <t xml:space="preserve">Giriş Değişkeni #13</t>
  </si>
  <si>
    <t xml:space="preserve">$B_{max}$</t>
  </si>
  <si>
    <t xml:space="preserve">Ferrit (N87/3C95) için 0.25–0.32 T, Toz Demir/Sendust için 0.45–0.80 T</t>
  </si>
  <si>
    <t xml:space="preserve">Bakır Akım Yoğunluğu (J_max)</t>
  </si>
  <si>
    <t xml:space="preserve">A/mm²</t>
  </si>
  <si>
    <t xml:space="preserve">Giriş Değişkeni #14</t>
  </si>
  <si>
    <t xml:space="preserve">$J_{max}$</t>
  </si>
  <si>
    <t xml:space="preserve">Doğal soğutmada 3.5–5.0 A/mm², zorlamalı hava soğutmada 6.0–8.0 A/mm²</t>
  </si>
  <si>
    <t xml:space="preserve">2. TI POWER TOPOLOGIES HANDBOOK (SLYU036A &amp; SLYW038B) TEMEL DEVRE ELEMANI VE STRES HESAPLARI</t>
  </si>
  <si>
    <t xml:space="preserve">Çıkış Gücü (P_out) ve Giriş Gücü (P_in)</t>
  </si>
  <si>
    <t xml:space="preserve">W</t>
  </si>
  <si>
    <t xml:space="preserve">P_out = V_out · I_out  |  P_in = P_out / η</t>
  </si>
  <si>
    <t xml:space="preserve">$P_{out} = V_{out} \cdot I_{out}, \quad P_{in} = \frac{P_{out}}{\eta}$</t>
  </si>
  <si>
    <t xml:space="preserve">Tam yükteki net DC çıkış gücü</t>
  </si>
  <si>
    <t xml:space="preserve">Nominal Görev Çevrimi (Duty Cycle — D_nom)</t>
  </si>
  <si>
    <t xml:space="preserve">Oran (0-1)</t>
  </si>
  <si>
    <t xml:space="preserve">D_nom = (V_out + V_f) / (V_in,nom + V_f)</t>
  </si>
  <si>
    <t xml:space="preserve">$D_{nom} = \frac{V_{out} + V_f}{V_{in,nom} + V_f}$</t>
  </si>
  <si>
    <t xml:space="preserve">TI SLYU036A Denklem (Buck CCM): Diyot düşümü dahil görev çevrimi</t>
  </si>
  <si>
    <t xml:space="preserve">Maksimum Görev Çevrimi (D_max @ V_in,min)</t>
  </si>
  <si>
    <t xml:space="preserve">D_max = (V_out + V_f) / (V_in,min + V_f)</t>
  </si>
  <si>
    <t xml:space="preserve">$D_{max} = \frac{V_{out} + V_f}{V_{in,min} + V_f}$</t>
  </si>
  <si>
    <t xml:space="preserve">Minimum giriş gerilimindeki en yüksek iletim oranı</t>
  </si>
  <si>
    <t xml:space="preserve">Minimum Görev Çevrimi (D_min @ V_in,max)</t>
  </si>
  <si>
    <t xml:space="preserve">D_min = (V_out + V_f) / (V_in,max + V_f)</t>
  </si>
  <si>
    <t xml:space="preserve">$D_{min} = \frac{V_{out} + V_f}{V_{in,max} + V_f}$</t>
  </si>
  <si>
    <t xml:space="preserve">Maksimum giriş gerilimindeki en dar PWM darbe oranı (en yüksek ripple durumu)</t>
  </si>
  <si>
    <t xml:space="preserve">Hedef İndüktör Akım Dalgalanması (ΔI_L)</t>
  </si>
  <si>
    <t xml:space="preserve">A_pp</t>
  </si>
  <si>
    <t xml:space="preserve">ΔI_L = I_out · (r_L / 100)</t>
  </si>
  <si>
    <t xml:space="preserve">$\Delta I_L = I_{out} \cdot \frac{r_L}{100}$</t>
  </si>
  <si>
    <t xml:space="preserve">Tepeden tepeye (peak-to-peak) bobin akım salınımı</t>
  </si>
  <si>
    <t xml:space="preserve">Gerekli Çıkış İndüktansı (L_min @ V_in,max)</t>
  </si>
  <si>
    <t xml:space="preserve">μH</t>
  </si>
  <si>
    <t xml:space="preserve">L = (V_in,max − V_out) · D_min / (ΔI_L · f_sw)</t>
  </si>
  <si>
    <t xml:space="preserve">$L = \frac{(V_{in,max} - V_{out}) \cdot D_{min}}{\Delta I_L \cdot f_{sw}}$</t>
  </si>
  <si>
    <t xml:space="preserve">En kötü durum (V_in,max) için ΔI_L hedefini sağlayan minimum indüktans</t>
  </si>
  <si>
    <t xml:space="preserve">İndüktör Tepe Akımı (I_L,peak = I_SW,peak)</t>
  </si>
  <si>
    <t xml:space="preserve">I_L,peak = I_out + ΔI_L / 2</t>
  </si>
  <si>
    <t xml:space="preserve">$I_{L,peak} = I_{out} + \frac{\Delta I_L}{2}$</t>
  </si>
  <si>
    <t xml:space="preserve">Nüve doyumu (B_sat) ve anahtar tepe akım sınırı için kritik değer</t>
  </si>
  <si>
    <t xml:space="preserve">İndüktör RMS Akımı (I_L,rms)</t>
  </si>
  <si>
    <t xml:space="preserve">A_rms</t>
  </si>
  <si>
    <t xml:space="preserve">I_L,rms = √[ I_out² + (ΔI_L)² / 12 ]</t>
  </si>
  <si>
    <t xml:space="preserve">$I_{L,rms} = \sqrt{I_{out}^2 + \frac{\Delta I_L^2}{12}}$</t>
  </si>
  <si>
    <t xml:space="preserve">Bobin bakır kaybı (I²R) hesabı için etkin akım</t>
  </si>
  <si>
    <t xml:space="preserve">MOSFET Anahtar RMS Akımı (I_SW,rms @ D_max)</t>
  </si>
  <si>
    <t xml:space="preserve">I_SW,rms = √[ D_max · (I_out² + ΔI_L² / 12) ]</t>
  </si>
  <si>
    <t xml:space="preserve">$I_{SW,rms} = \sqrt{D_{max} \left(I_{out}^2 + \frac{\Delta I_L^2}{12}\right)}$</t>
  </si>
  <si>
    <t xml:space="preserve">Minimum giriş geriliminde MOSFET üzerinden geçen maksimum RMS akım</t>
  </si>
  <si>
    <t xml:space="preserve">Serbest Süreç Diyotu (veya Senkron FET) RMS Akımı</t>
  </si>
  <si>
    <t xml:space="preserve">I_D,rms = √[ (1 − D_min) · (I_out² + ΔI_L² / 12) ]</t>
  </si>
  <si>
    <t xml:space="preserve">$I_{D,rms} = \sqrt{(1 - D_{min}) \left(I_{out}^2 + \frac{\Delta I_L^2}{12}\right)}$</t>
  </si>
  <si>
    <t xml:space="preserve">Maksimum giriş geriliminde alt kol diyot/SR RMS akımı</t>
  </si>
  <si>
    <t xml:space="preserve">MOSFET ve Diyot Maks. Gerilim Stresi (V_DS,max)</t>
  </si>
  <si>
    <t xml:space="preserve">V_DS,max = V_in,max  |  V_R,max = V_in,max</t>
  </si>
  <si>
    <t xml:space="preserve">$V_{DS,max} = V_{in,max}, \quad V_{R,max} = V_{in,max}$</t>
  </si>
  <si>
    <t xml:space="preserve">En az 1.25× – 1.5× güvenlik payı ile MOSFET seçilmelidir</t>
  </si>
  <si>
    <t xml:space="preserve">Çıkış Kapasitörü RMS Ripple Akımı (I_Cout,rms)</t>
  </si>
  <si>
    <t xml:space="preserve">I_Cout,rms = ΔI_L / √12</t>
  </si>
  <si>
    <t xml:space="preserve">$I_{C_{out},rms} = \frac{\Delta I_L}{\sqrt{12}}$</t>
  </si>
  <si>
    <t xml:space="preserve">Üçgen indüktör akım dalgalanmasının tamamı çıkış kapasitöründen akar</t>
  </si>
  <si>
    <t xml:space="preserve">Giriş Kapasitörü RMS Ripple Akımı (I_Cin,rms)</t>
  </si>
  <si>
    <t xml:space="preserve">I_Cin,rms = I_out · √[ D·(1 − D) + (ΔI_L/I_out)²·(D/12) ]</t>
  </si>
  <si>
    <t xml:space="preserve">$I_{C_{in},rms} = I_{out} \sqrt{D(1-D) + \frac{D}{12}\left(\frac{\Delta I_L}{I_{out}}\right)^2}$</t>
  </si>
  <si>
    <t xml:space="preserve">D = 0.5 noktasında giriş kapasitörü akım stresi maksimumdur (≈ 0.5 · I_out)</t>
  </si>
  <si>
    <t xml:space="preserve">Gerekli Minimum Çıkış Kapasitansı (C_out,min)</t>
  </si>
  <si>
    <t xml:space="preserve">μF</t>
  </si>
  <si>
    <t xml:space="preserve">C_out,min = ΔI_L / (8 · f_sw · ΔV_out)</t>
  </si>
  <si>
    <t xml:space="preserve">$C_{out,min} = \frac{\Delta I_L}{8 \cdot f_{sw} \cdot \Delta V_{out}}$</t>
  </si>
  <si>
    <t xml:space="preserve">Kapasitif şarj/deşarj kaynaklı gerilim dalgalanmasını sınırlayan kapasitans</t>
  </si>
  <si>
    <t xml:space="preserve">Maksimum İzin Verilen Çıkış Kapasitör ESR Değeri</t>
  </si>
  <si>
    <t xml:space="preserve">ESR_max = ΔV_out / ΔI_L</t>
  </si>
  <si>
    <t xml:space="preserve">$ESR_{max} = \frac{\Delta V_{out}}{\Delta I_L}$</t>
  </si>
  <si>
    <t xml:space="preserve">Seramik MLCC veya düşük ESR'li polimer kapasitör seçim kriteri</t>
  </si>
  <si>
    <t xml:space="preserve">3. ÖZGÜN İLERİ MÜHENDİSLİK ANALİZLERİ (MANYETİK NÜVE Alan-Çarpımı Ap, RHPZ, SNUBBER, LC FİLTRE VE TERMAL KAYIP BÜTÇESİ)</t>
  </si>
  <si>
    <t xml:space="preserve">Kritik DCM/CCM Sınır İndüktansı (L_crit @ Tam Yük)</t>
  </si>
  <si>
    <t xml:space="preserve">L_crit = (V_in,max − V_out) · D_min / (2 · I_out · f_sw)</t>
  </si>
  <si>
    <t xml:space="preserve">$L_{crit} = \frac{(V_{in,max} - V_{out}) \cdot D_{min}}{2 \cdot I_{out} \cdot f_{sw}}$</t>
  </si>
  <si>
    <t xml:space="preserve">L &lt; L_crit olursa dönüştürücü Kesikli İletim Moduna (DCM) girer</t>
  </si>
  <si>
    <t xml:space="preserve">Nüve Alan-Çarpımı (Area Product Ap = A_e · A_w)</t>
  </si>
  <si>
    <t xml:space="preserve">cm⁴</t>
  </si>
  <si>
    <t xml:space="preserve">A_p = (L · I_peak · I_rms) / (K_u · B_max · J_max)</t>
  </si>
  <si>
    <t xml:space="preserve">$A_p = A_e A_w = \frac{L \cdot I_{L,peak} \cdot I_{L,rms}}{K_u \cdot B_{max} \cdot J_{max}}$</t>
  </si>
  <si>
    <t xml:space="preserve">K_u = 0.35 pencere doluluk katsayısı ile gereken minimum ferrit/toz nüve büyüklüğü</t>
  </si>
  <si>
    <t xml:space="preserve">LC Çıkış Filtresi Köşe (Rezonans) Frekansı (f_LC)</t>
  </si>
  <si>
    <t xml:space="preserve">f_LC = 1 / [ 2π · √(L · C_out) ]</t>
  </si>
  <si>
    <t xml:space="preserve">$f_{LC} = \frac{1}{2\pi \sqrt{L \cdot C_{out}}}$</t>
  </si>
  <si>
    <t xml:space="preserve">Tip III kontrol döngüsü tasarımında çift kutup (double-pole) frekansı</t>
  </si>
  <si>
    <t xml:space="preserve">Önerilen Kontrol Bant Genişliği (f_crossover ≈ f_sw / 8)</t>
  </si>
  <si>
    <t xml:space="preserve">f_c = f_sw / 8  (f_LC &lt; f_c &lt; f_sw / 5)</t>
  </si>
  <si>
    <t xml:space="preserve">$f_c = \frac{f_{sw}}{8}$</t>
  </si>
  <si>
    <t xml:space="preserve">Buck RHPZ içermediği için f_sw/6 – f_sw/10 arasında yüksek bant genişliği sağlar</t>
  </si>
  <si>
    <t xml:space="preserve">MOSFET İletim Kaybı (P_cond,SW)</t>
  </si>
  <si>
    <t xml:space="preserve">P_cond,SW = I_SW,rms² · R_DS(on)</t>
  </si>
  <si>
    <t xml:space="preserve">$P_{cond,SW} = I_{SW,rms}^2 \cdot R_{DS(on)}$</t>
  </si>
  <si>
    <t xml:space="preserve">Üst kol anahtarlama MOSFET'inin omik iletim kaybı</t>
  </si>
  <si>
    <t xml:space="preserve">MOSFET Anahtarlama Kaybı (P_sw,SW — t_r+t_f ≈ 20ns)</t>
  </si>
  <si>
    <t xml:space="preserve">P_sw = 0.5 · V_in · I_out · (t_r + t_f) · f_sw</t>
  </si>
  <si>
    <t xml:space="preserve">$P_{sw} = \frac{1}{2} V_{in} I_{out} (t_r + t_f) f_{sw}$</t>
  </si>
  <si>
    <t xml:space="preserve">Hard-switching (sert anahtarlama) geçiş kaybı tahmini</t>
  </si>
  <si>
    <t xml:space="preserve">Diyot / Senkron Doğrultucu İletim Kaybı (P_rect)</t>
  </si>
  <si>
    <t xml:space="preserve">P_rect = (1 − D_nom) · I_out · V_f</t>
  </si>
  <si>
    <t xml:space="preserve">$P_{rect} = (1 - D_{nom}) \cdot I_{out} \cdot V_f$</t>
  </si>
  <si>
    <t xml:space="preserve">Senkron doğrultucu (SR) kullanılırsa V_f yerine I_D,rms²·R_DS(on) geçer</t>
  </si>
  <si>
    <t xml:space="preserve">Tahmini Toplam Güç Kaybı (P_loss,total)</t>
  </si>
  <si>
    <t xml:space="preserve">P_loss = P_out · (1/η − 1)</t>
  </si>
  <si>
    <t xml:space="preserve">$P_{loss} = P_{out} \left(\frac{1}{\eta} - 1\right)$</t>
  </si>
  <si>
    <t xml:space="preserve">Soğutucu ve PCB termal tasarımı için toplam ısı yayılımı</t>
  </si>
  <si>
    <t xml:space="preserve">Tahmini MOSFET Bağlantı Sıcaklığı Artışı (ΔT_J @ 15°C/W)</t>
  </si>
  <si>
    <t xml:space="preserve">°C</t>
  </si>
  <si>
    <t xml:space="preserve">ΔT_J = (P_cond,SW + P_sw) · R_θJA</t>
  </si>
  <si>
    <t xml:space="preserve">$\Delta T_J = (P_{cond,SW} + P_{sw}) \cdot R_{\theta JA}$</t>
  </si>
  <si>
    <t xml:space="preserve">Standart 15 °C/W termal dirençli paket için ortam üstü sıcaklık artışı</t>
  </si>
  <si>
    <t xml:space="preserve">Önerilen Bakır Tel Kesiti (A_wire @ I_L,rms &amp; J_max)</t>
  </si>
  <si>
    <t xml:space="preserve">mm²</t>
  </si>
  <si>
    <t xml:space="preserve">A_wire = I_L,rms / J_max</t>
  </si>
  <si>
    <t xml:space="preserve">$A_{wire} = \frac{I_{L,rms}}{J_{max}}$</t>
  </si>
  <si>
    <t xml:space="preserve">Deri etkisi (skin depth) için f_sw &gt; 100 kHz'de Litz teli veya çoklu paralel tel önerilir</t>
  </si>
  <si>
    <t xml:space="preserve">TOPOLOJİ 02: BOOST CONVERTER (YÜKSELTİCİ DC-DC DÖNÜŞTÜRÜCÜ — TI SLYU036A BÖLÜM 4)</t>
  </si>
  <si>
    <t xml:space="preserve">Sürekli Giriş Akımlı Step-Up Dönüştürücü, RHPZ Kararlılık Sınırı, İndüktör ve Çıkış Kapasitörü Stres Hesaplayıcı</t>
  </si>
  <si>
    <t xml:space="preserve">Yükseltici dönüştürücü toplam çıkış gücü</t>
  </si>
  <si>
    <t xml:space="preserve">Nominal Görev Çevrimi (D_nom @ V_in,nom)</t>
  </si>
  <si>
    <t xml:space="preserve">D_nom = 1 − [ V_in,nom · η / (V_out + V_f) ]</t>
  </si>
  <si>
    <t xml:space="preserve">$D_{nom} = 1 - \frac{V_{in,nom} \cdot \eta}{V_{out} + V_f}$</t>
  </si>
  <si>
    <t xml:space="preserve">TI SLYU036A Boost CCM görev çevrimi denklemi</t>
  </si>
  <si>
    <t xml:space="preserve">D_max = 1 − [ V_in,min · η / (V_out + V_f) ]</t>
  </si>
  <si>
    <t xml:space="preserve">$D_{max} = 1 - \frac{V_{in,min} \cdot \eta}{V_{out} + V_f}$</t>
  </si>
  <si>
    <t xml:space="preserve">En yüksek giriş akımı ve maksimum anahtar iletim süresi durumu</t>
  </si>
  <si>
    <t xml:space="preserve">D_min = 1 − [ V_in,max · η / (V_out + V_f) ]</t>
  </si>
  <si>
    <t xml:space="preserve">$D_{min} = 1 - \frac{V_{in,max} \cdot \eta}{V_{out} + V_f}$</t>
  </si>
  <si>
    <t xml:space="preserve">Maksimum giriş gerilimindeki minimum duty cycle</t>
  </si>
  <si>
    <t xml:space="preserve">Maksimum Ortalama Giriş / İndüktör Akımı (I_L,avg,max)</t>
  </si>
  <si>
    <t xml:space="preserve">I_L,avg = I_in,max = I_out / (1 − D_max)</t>
  </si>
  <si>
    <t xml:space="preserve">$I_{L,avg} = I_{in,max} = \frac{I_{out}}{1 - D_{max}}$</t>
  </si>
  <si>
    <t xml:space="preserve">Boost topolojisinde bobin girişte olduğundan ortalama bobin akımı giriş akımına eşittir</t>
  </si>
  <si>
    <t xml:space="preserve">ΔI_L = I_L,avg · (r_L / 100)</t>
  </si>
  <si>
    <t xml:space="preserve">$\Delta I_L = I_{L,avg} \cdot \frac{r_L}{100}$</t>
  </si>
  <si>
    <t xml:space="preserve">Giriş bobini tepeden tepeye akım dalgalanması</t>
  </si>
  <si>
    <t xml:space="preserve">Gerekli Boost İndüktansı (L_min @ V_in,min)</t>
  </si>
  <si>
    <t xml:space="preserve">L = (V_in,min · D_max) / (ΔI_L · f_sw)</t>
  </si>
  <si>
    <t xml:space="preserve">$L = \frac{V_{in,min} \cdot D_{max}}{\Delta I_L \cdot f_{sw}}$</t>
  </si>
  <si>
    <t xml:space="preserve">TI SLYU036A Bölüm 4: ΔI_L oranını koruyan minimum indüktans</t>
  </si>
  <si>
    <t xml:space="preserve">İndüktör ve MOSFET Tepe Akımı (I_L,peak = I_SW,peak)</t>
  </si>
  <si>
    <t xml:space="preserve">I_L,peak = I_out / (1 − D_max) + ΔI_L / 2</t>
  </si>
  <si>
    <t xml:space="preserve">$I_{L,peak} = \frac{I_{out}}{1 - D_{max}} + \frac{\Delta I_L}{2}$</t>
  </si>
  <si>
    <t xml:space="preserve">Akım modlu kontrol (Current Mode) eşiği ve nüve doyum sınırı</t>
  </si>
  <si>
    <t xml:space="preserve">I_L,rms = √[ I_L,avg² + (ΔI_L)² / 12 ]</t>
  </si>
  <si>
    <t xml:space="preserve">$I_{L,rms} = \sqrt{I_{L,avg}^2 + \frac{\Delta I_L^2}{12}}$</t>
  </si>
  <si>
    <t xml:space="preserve">Giriş bobini bakır tel ısınma akımı</t>
  </si>
  <si>
    <t xml:space="preserve">MOSFET Anahtar RMS Akımı (I_SW,rms)</t>
  </si>
  <si>
    <t xml:space="preserve">I_SW,rms = √[ D_max · (I_L,avg² + ΔI_L² / 12) ]</t>
  </si>
  <si>
    <t xml:space="preserve">$I_{SW,rms} = \sqrt{D_{max} \left(I_{L,avg}^2 + \frac{\Delta I_L^2}{12}\right)}$</t>
  </si>
  <si>
    <t xml:space="preserve">Alt kol Boost MOSFET'inin maksimum RMS akımı</t>
  </si>
  <si>
    <t xml:space="preserve">Boost Diyotu RMS Akımı (I_D,rms)</t>
  </si>
  <si>
    <t xml:space="preserve">I_D,rms = √[ (1 − D_max) · (I_L,avg² + ΔI_L² / 12) ]</t>
  </si>
  <si>
    <t xml:space="preserve">$I_{D,rms} = \sqrt{(1 - D_{max}) \left(I_{L,avg}^2 + \frac{\Delta I_L^2}{12}\right)}$</t>
  </si>
  <si>
    <t xml:space="preserve">Çıkış doğrultucu diyot (veya üst kol SR FET) RMS akımı</t>
  </si>
  <si>
    <t xml:space="preserve">V_DS,max = V_out + V_f  |  V_R,max = V_out</t>
  </si>
  <si>
    <t xml:space="preserve">$V_{DS,max} = V_{out} + V_f, \quad V_{R,max} = V_{out}$</t>
  </si>
  <si>
    <t xml:space="preserve">Boost'ta anahtar gerilim stresi girişe değil çıkış gerilimine bağlıdır</t>
  </si>
  <si>
    <t xml:space="preserve">I_Cout,rms = √( I_D,rms² − I_out² ) ≈ I_out · √[ D_max / (1 − D_max) ]</t>
  </si>
  <si>
    <t xml:space="preserve">$I_{C_{out},rms} = \sqrt{I_{D,rms}^2 - I_{out}^2} \approx I_{out} \sqrt{\frac{D_{max}}{1 - D_{max}}}$</t>
  </si>
  <si>
    <t xml:space="preserve">Boost çıkış akımı darbeli (pulsating) olduğundan çıkış kapasitör RMS akımı çok yüksektir</t>
  </si>
  <si>
    <t xml:space="preserve">C_out,min = (I_out · D_max) / (f_sw · ΔV_out)</t>
  </si>
  <si>
    <t xml:space="preserve">$C_{out,min} = \frac{I_{out} \cdot D_{max}}{f_{sw} \cdot \Delta V_{out}}$</t>
  </si>
  <si>
    <t xml:space="preserve">MOSFET iletimdeyken yükü tek başına besleyen çıkış kapasitansı</t>
  </si>
  <si>
    <t xml:space="preserve">ESR_max = ΔV_out / I_L,peak</t>
  </si>
  <si>
    <t xml:space="preserve">$ESR_{max} = \frac{\Delta V_{out}}{I_{L,peak}}$</t>
  </si>
  <si>
    <t xml:space="preserve">Diyot iletime geçtiği anda I_L,peak basamağı ESR üzerinde ani sıçrama yaratır</t>
  </si>
  <si>
    <t xml:space="preserve">En Düşük Sağ Yarı Düzlem Sıfırı Frekansı (f_RHPZ,min)</t>
  </si>
  <si>
    <t xml:space="preserve">f_RHPZ = (1 − D_max)² · R_load / (2π · L)</t>
  </si>
  <si>
    <t xml:space="preserve">$f_{RHPZ} = \frac{(1 - D_{max})^2 \cdot R_{load}}{2\pi \cdot L}$</t>
  </si>
  <si>
    <t xml:space="preserve">KRİTİK: Kontrol döngüsü kesim frekansı f_c mutlaka f_RHPZ / 4 değerinin altında seçilmelidir!</t>
  </si>
  <si>
    <t xml:space="preserve">Maksimum Güvenli Kontrol Bant Genişliği (f_c,max = f_RHPZ / 4)</t>
  </si>
  <si>
    <t xml:space="preserve">f_c,max = f_RHPZ / 4</t>
  </si>
  <si>
    <t xml:space="preserve">$f_{c,max} = \frac{f_{RHPZ}}{4}$</t>
  </si>
  <si>
    <t xml:space="preserve">Faz marjının 45° altına düşmemesi için aşılması gereken üst bant genişliği sınırı</t>
  </si>
  <si>
    <t xml:space="preserve">Kritik DCM/CCM Sınır İndüktansı (L_crit)</t>
  </si>
  <si>
    <t xml:space="preserve">L_crit = R_load · D · (1 − D)² / (2 · f_sw)</t>
  </si>
  <si>
    <t xml:space="preserve">$L_{crit} = \frac{R_{load} \cdot D (1 - D)^2}{2 \cdot f_{sw}}$</t>
  </si>
  <si>
    <t xml:space="preserve">D = 1/3 noktasında DCM sınır indüktansı maksimum değerini alır</t>
  </si>
  <si>
    <t xml:space="preserve">A_p = (L · I_L,peak · I_L,rms) / (K_u · B_max · J_max)</t>
  </si>
  <si>
    <t xml:space="preserve">$A_p = \frac{L \cdot I_{L,peak} \cdot I_{L,rms}}{K_u \cdot B_{max} \cdot J_{max}}$</t>
  </si>
  <si>
    <t xml:space="preserve">Boost bobini yüksek DC bias taşıdığı için hava aralıklı ferrit veya Sendust/Kool Mμ önerilir</t>
  </si>
  <si>
    <t xml:space="preserve">I_Cin,rms = ΔI_L / √12</t>
  </si>
  <si>
    <t xml:space="preserve">$I_{C_{in},rms} = \frac{\Delta I_L}{\sqrt{12}}$</t>
  </si>
  <si>
    <t xml:space="preserve">Boost giriş akımı sürekli olduğundan giriş kapasitörü stresi çok düşüktür</t>
  </si>
  <si>
    <t xml:space="preserve">Boost anahtarının tam yük ve V_in,min altındaki iletim kaybı</t>
  </si>
  <si>
    <t xml:space="preserve">MOSFET Anahtarlama Kaybı (P_sw,SW)</t>
  </si>
  <si>
    <t xml:space="preserve">P_sw = 0.5 · V_out · I_L,avg · (t_r + t_f) · f_sw</t>
  </si>
  <si>
    <t xml:space="preserve">$P_{sw} = \frac{1}{2} V_{out} I_{L,avg} (t_r + t_f) f_{sw}$</t>
  </si>
  <si>
    <t xml:space="preserve">MOSFET V_out gerilimini anahtarladığı için geçiş kaybı çıkış gerilimiyle orantılıdır</t>
  </si>
  <si>
    <t xml:space="preserve">Boost Diyotu İletim Kaybı (P_D)</t>
  </si>
  <si>
    <t xml:space="preserve">P_D = I_D,avg · V_f = I_out · V_f</t>
  </si>
  <si>
    <t xml:space="preserve">$P_D = I_{D,avg} \cdot V_f = I_{out} \cdot V_f$</t>
  </si>
  <si>
    <t xml:space="preserve">Diyot ortalama akımı tam olarak DC çıkış akımı I_out'a eşittir</t>
  </si>
  <si>
    <t xml:space="preserve">Termal tasarım için toplam güç kaybı</t>
  </si>
  <si>
    <t xml:space="preserve">Önerilen Bobin Bakır Tel Kesiti (A_wire)</t>
  </si>
  <si>
    <t xml:space="preserve">Giriş bobini sarımı için gereken toplam iletken kesiti</t>
  </si>
  <si>
    <t xml:space="preserve">TOPOLOJİ 03: INVERTING BUCK-BOOST CONVERTER (EVİREN ALÇALTICI-YÜKSELTİCİ — TI SLYU036A BÖLÜM 5)</t>
  </si>
  <si>
    <t xml:space="preserve">Pozitif Girişten Negatif Çıkış (-V_out) Üreten Tek Bobinli Topoloji, RHPZ ve Anahtar/Diyot Stres Analizi</t>
  </si>
  <si>
    <t xml:space="preserve">Mutlak Çıkış Gücü (P_out = |V_out| · I_out)</t>
  </si>
  <si>
    <t xml:space="preserve">P_out = |V_out| · I_out</t>
  </si>
  <si>
    <t xml:space="preserve">$P_{out} = |V_{out}| \cdot I_{out}$</t>
  </si>
  <si>
    <t xml:space="preserve">Çıkış gerilimi topoloji gereği negatiftir (V_out = −|V_out|)</t>
  </si>
  <si>
    <t xml:space="preserve">D_nom = (|V_out| + V_f) / (V_in,nom · η + |V_out| + V_f)</t>
  </si>
  <si>
    <t xml:space="preserve">$D_{nom} = \frac{|V_{out}| + V_f}{V_{in,nom} \cdot \eta + |V_{out}| + V_f}$</t>
  </si>
  <si>
    <t xml:space="preserve">TI SLYU036A Bölüm 5: D &lt; 0.5 ise alçaltma, D &gt; 0.5 ise yükseltme yapar</t>
  </si>
  <si>
    <t xml:space="preserve">D_max = (|V_out| + V_f) / (V_in,min · η + |V_out| + V_f)</t>
  </si>
  <si>
    <t xml:space="preserve">$D_{max} = \frac{|V_{out}| + V_f}{V_{in,min} \cdot \eta + |V_{out}| + V_f}$</t>
  </si>
  <si>
    <t xml:space="preserve">Minimum giriş geriliminde en yüksek görev çevrimi ve bobin akımı</t>
  </si>
  <si>
    <t xml:space="preserve">D_min = (|V_out| + V_f) / (V_in,max · η + |V_out| + V_f)</t>
  </si>
  <si>
    <t xml:space="preserve">$D_{min} = \frac{|V_{out}| + V_f}{V_{in,max} \cdot \eta + |V_{out}| + V_f}$</t>
  </si>
  <si>
    <t xml:space="preserve">Maksimum giriş gerilimindeki görev çevrimi</t>
  </si>
  <si>
    <t xml:space="preserve">Maksimum Ortalama İndüktör Akımı (I_L,avg @ D_max)</t>
  </si>
  <si>
    <t xml:space="preserve">I_L,avg = I_in + I_out = I_out / (1 − D_max)</t>
  </si>
  <si>
    <t xml:space="preserve">$I_{L,avg} = I_{in} + I_{out} = \frac{I_{out}}{1 - D_{max}}$</t>
  </si>
  <si>
    <t xml:space="preserve">ÖNEMLİ: Ortalama bobin akımı giriş ve çıkış akımlarının toplamına eşittir!</t>
  </si>
  <si>
    <t xml:space="preserve">Tepeden tepeye bobin akım dalgalanması</t>
  </si>
  <si>
    <t xml:space="preserve">Gerekli İndüktans Değeri (L_min @ V_in,min)</t>
  </si>
  <si>
    <t xml:space="preserve">TI SLYU036A Bölüm 5 CCM bobin hesabı</t>
  </si>
  <si>
    <t xml:space="preserve">İndüktör ve Anahtar Tepe Akımı (I_L,peak = I_SW,peak)</t>
  </si>
  <si>
    <t xml:space="preserve">MOSFET, diyot ve bobinin maruz kaldığı maksimum tepe akım</t>
  </si>
  <si>
    <t xml:space="preserve">Bobin bakır kaybı hesabı için etkin RMS akım</t>
  </si>
  <si>
    <t xml:space="preserve">Üst kol MOSFET RMS akımı</t>
  </si>
  <si>
    <t xml:space="preserve">Diyot RMS Akımı (I_D,rms)</t>
  </si>
  <si>
    <t xml:space="preserve">Serbest süreç diyotu RMS akımı</t>
  </si>
  <si>
    <t xml:space="preserve">MOSFET ve Diyot Maks. Gerilim Stresi (V_DS,max = V_R,max)</t>
  </si>
  <si>
    <t xml:space="preserve">V_DS,max = V_in,max + |V_out| + V_f</t>
  </si>
  <si>
    <t xml:space="preserve">$V_{DS,max} = V_{in,max} + |V_{out}| + V_f$</t>
  </si>
  <si>
    <t xml:space="preserve">DİKKAT: Anahtar hem giriş hem çıkış geriliminin toplamına maruz kalır!</t>
  </si>
  <si>
    <t xml:space="preserve">I_Cout,rms = √( I_D,rms² − I_out² )</t>
  </si>
  <si>
    <t xml:space="preserve">$I_{C_{out},rms} = \sqrt{I_{D,rms}^2 - I_{out}^2}$</t>
  </si>
  <si>
    <t xml:space="preserve">Çıkış kapasitörü yüksek darbeli akım taşır</t>
  </si>
  <si>
    <t xml:space="preserve">İletim süresince çıkışı besleyen minimum kapasitans</t>
  </si>
  <si>
    <t xml:space="preserve">I_Cin,rms ≈ I_L,avg · √[ D_max · (1 − D_max) ]</t>
  </si>
  <si>
    <t xml:space="preserve">$I_{C_{in},rms} \approx I_{L,avg} \sqrt{D_{max}(1 - D_{max})}$</t>
  </si>
  <si>
    <t xml:space="preserve">Hem giriş hem çıkış akımı darbeli olduğundan giriş filtre kapasitörü de yüksek RMS akım taşır</t>
  </si>
  <si>
    <t xml:space="preserve">f_RHPZ = (1 − D_max)² · R_load / (2π · D_max · L)</t>
  </si>
  <si>
    <t xml:space="preserve">$f_{RHPZ} = \frac{(1 - D_{max})^2 \cdot R_{load}}{2\pi \cdot D_{max} \cdot L}$</t>
  </si>
  <si>
    <t xml:space="preserve">TI SLYU036A Bölüm 5 RHPZ denklemi (f_c &lt; f_RHPZ / 4 olmalıdır)</t>
  </si>
  <si>
    <t xml:space="preserve">Maksimum Güvenli Kontrol Bant Genişliği (f_c,max)</t>
  </si>
  <si>
    <t xml:space="preserve">Kararlı kapalı çevrim için maksimum crossover frekansı</t>
  </si>
  <si>
    <t xml:space="preserve">L_crit = R_load · (1 − D_max)² / (2 · f_sw)</t>
  </si>
  <si>
    <t xml:space="preserve">$L_{crit} = \frac{R_{load} \cdot (1 - D_{max})^2}{2 \cdot f_{sw}}$</t>
  </si>
  <si>
    <t xml:space="preserve">CCM modunda kalmak için gereken alt sınır indüktans</t>
  </si>
  <si>
    <t xml:space="preserve">Bobin tüm enerjiyi depoladığı için Buck/Boost'tan daha büyük nüve gerektirir</t>
  </si>
  <si>
    <t xml:space="preserve">Çıkış Kapasitörü Maksimum ESR Sınırı (ESR_max)</t>
  </si>
  <si>
    <t xml:space="preserve">Diyot akım basamağının oluşturduğu ESR ripple sınırı</t>
  </si>
  <si>
    <t xml:space="preserve">MOSFET İletim ve Anahtarlama Toplam Kaybı (P_SW,tot)</t>
  </si>
  <si>
    <t xml:space="preserve">P_SW = I_SW,rms²·R_DS(on) + 0.5·(V_in + |V_out|)·I_L,avg·t_sw·f_sw</t>
  </si>
  <si>
    <t xml:space="preserve">$P_{SW} = I_{SW,rms}^2 R_{DS(on)} + \frac{1}{2}(V_{in} + |V_{out}|) I_{L,avg} t_{sw} f_{sw}$</t>
  </si>
  <si>
    <t xml:space="preserve">Anahtar (V_in + |V_out|) gerilimi altında anahtarlama yaptığı için kayıp yüksektir</t>
  </si>
  <si>
    <t xml:space="preserve">Diyot İletim Kaybı (P_D)</t>
  </si>
  <si>
    <t xml:space="preserve">P_D = I_out · V_f</t>
  </si>
  <si>
    <t xml:space="preserve">$P_D = I_{out} \cdot V_f$</t>
  </si>
  <si>
    <t xml:space="preserve">Çıkış diyotu ortalama kaybı</t>
  </si>
  <si>
    <t xml:space="preserve">Standart Buck Entegresi İle Seviye Kaydırma Gerilimi (V_IC,rating)</t>
  </si>
  <si>
    <t xml:space="preserve">V_IC,min = V_in,max + |V_out|</t>
  </si>
  <si>
    <t xml:space="preserve">$V_{IC,min} = V_{in,max} + |V_{out}|$</t>
  </si>
  <si>
    <t xml:space="preserve">Standart Buck IC'yi eviren Buck-Boost olarak bağlarken IC GND pini -V_out'a bağlanır</t>
  </si>
  <si>
    <t xml:space="preserve">Toplam ısıl kayıp bütçesi</t>
  </si>
  <si>
    <t xml:space="preserve">Önerilen Bobin Tel Kesiti (A_wire)</t>
  </si>
  <si>
    <t xml:space="preserve">Bobin sargısı minimum iletken kesiti</t>
  </si>
  <si>
    <t xml:space="preserve">TOPOLOJİ 04: SEPIC CONVERTER (SINGLE-ENDED PRIMARY-INDUCTOR — TI SLYU036A BÖLÜM 6)</t>
  </si>
  <si>
    <t xml:space="preserve">Pozitif Çıkışlı Alçaltıcı-Yükseltici Dönüştürücü, Çift/Kuplajlı Bobin (L1, L2) ve Seri Kuplaj Kapasitörü (C_s) Tasarımı</t>
  </si>
  <si>
    <t xml:space="preserve">Çıkış Gücü (P_out) ve Maks. Giriş Akımı (I_in,max)</t>
  </si>
  <si>
    <t xml:space="preserve">P_out = V_out · I_out  |  I_in,max = P_out / (V_in,min · η)</t>
  </si>
  <si>
    <t xml:space="preserve">$P_{out} = V_{out} \cdot I_{out}, \quad I_{in,max} = \frac{P_{out}}{V_{in,min} \cdot \eta}$</t>
  </si>
  <si>
    <t xml:space="preserve">Geniş giriş aralığında (V_in &lt; V_out ve V_in &gt; V_out) pozitif çıkış regülasyonu</t>
  </si>
  <si>
    <t xml:space="preserve">D_nom = (V_out + V_f) / (V_in,nom + V_out + V_f)</t>
  </si>
  <si>
    <t xml:space="preserve">$D_{nom} = \frac{V_{out} + V_f}{V_{in,nom} + V_{out} + V_f}$</t>
  </si>
  <si>
    <t xml:space="preserve">TI SLYU036A Bölüm 6 SEPIC CCM görev çevrimi</t>
  </si>
  <si>
    <t xml:space="preserve">D_max = (V_out + V_f) / (V_in,min + V_out + V_f)</t>
  </si>
  <si>
    <t xml:space="preserve">$D_{max} = \frac{V_{out} + V_f}{V_{in,min} + V_{out} + V_f}$</t>
  </si>
  <si>
    <t xml:space="preserve">En düşük giriş gerilimindeki maksimum duty cycle</t>
  </si>
  <si>
    <t xml:space="preserve">D_min = (V_out + V_f) / (V_in,max + V_out + V_f)</t>
  </si>
  <si>
    <t xml:space="preserve">$D_{min} = \frac{V_{out} + V_f}{V_{in,max} + V_{out} + V_f}$</t>
  </si>
  <si>
    <t xml:space="preserve">L1 Giriş Bobini Ortalama Akımı (I_L1,avg = I_in,max)</t>
  </si>
  <si>
    <t xml:space="preserve">I_L1,avg = I_in,max = I_out · D_max / [ (1 − D_max) · η ]</t>
  </si>
  <si>
    <t xml:space="preserve">$I_{L1,avg} = I_{in,max} = \frac{I_{out} \cdot D_{max}}{(1 - D_{max}) \cdot \eta}$</t>
  </si>
  <si>
    <t xml:space="preserve">L1 bobini ortalama akımı DC giriş akımına, L2 bobini ortalama akımı ise I_out'a eşittir</t>
  </si>
  <si>
    <t xml:space="preserve">Hedef Bobin Akım Dalgalanması (ΔI_L1 = ΔI_L2)</t>
  </si>
  <si>
    <t xml:space="preserve">ΔI_L = I_L1,avg · (r_L / 100)</t>
  </si>
  <si>
    <t xml:space="preserve">$\Delta I_L = I_{L1,avg} \cdot \frac{r_L}{100}$</t>
  </si>
  <si>
    <t xml:space="preserve">Simetrik tasarımda L1 ve L2 bobinleri aynı ΔI_L dalgalanmasına sahip olur</t>
  </si>
  <si>
    <t xml:space="preserve">Ayrık L1 ve L2 İndüktans Değeri (L1 = L2, Ayrık Nüve)</t>
  </si>
  <si>
    <t xml:space="preserve">L_1 = L_2 = (V_in,min · D_max) / (ΔI_L · f_sw)</t>
  </si>
  <si>
    <t xml:space="preserve">$L_1 = L_2 = \frac{V_{in,min} \cdot D_{max}}{\Delta I_L \cdot f_{sw}}$</t>
  </si>
  <si>
    <t xml:space="preserve">İki ayrı indüktör kullanılırsa her birinin olması gereken indüktans değeri</t>
  </si>
  <si>
    <t xml:space="preserve">Kuplajlı Bobin İndüktansı (L1 = L2, Tek Nüvede Kuplajlı)</t>
  </si>
  <si>
    <t xml:space="preserve">L_1,coupled = L_2,coupled = (V_in,min · D_max) / (2 · ΔI_L · f_sw)</t>
  </si>
  <si>
    <t xml:space="preserve">$L_{1,coupled} = L_{2,coupled} = \frac{V_{in,min} \cdot D_{max}}{2 \cdot \Delta I_L \cdot f_{sw}}$</t>
  </si>
  <si>
    <t xml:space="preserve">L1 ve L2 aynı nüveye 1:1 sarılırsa karşılıklı endüktans sayesinde yarı değer yeterlidir!</t>
  </si>
  <si>
    <t xml:space="preserve">MOSFET ve Diyot Tepe Akımı (I_SW,peak = I_D,peak)</t>
  </si>
  <si>
    <t xml:space="preserve">I_SW,peak = I_L1,peak + I_L2,peak = I_L1,avg + I_out + ΔI_L</t>
  </si>
  <si>
    <t xml:space="preserve">$I_{SW,peak} = I_{L1,peak} + I_{L2,peak} = I_{L1,avg} + I_{out} + \Delta I_L$</t>
  </si>
  <si>
    <t xml:space="preserve">İletim anında MOSFET üzerinden L1 ve L2 akımlarının toplamı geçer</t>
  </si>
  <si>
    <t xml:space="preserve">I_SW,rms = (I_L1,avg + I_out) · √D_max</t>
  </si>
  <si>
    <t xml:space="preserve">$I_{SW,rms} = (I_{L1,avg} + I_{out}) \sqrt{D_{max}}$</t>
  </si>
  <si>
    <t xml:space="preserve">TI SLYU036A Bölüm 6 MOSFET RMS akım denklemi</t>
  </si>
  <si>
    <t xml:space="preserve">Çıkış Diyotu RMS Akımı (I_D,rms)</t>
  </si>
  <si>
    <t xml:space="preserve">I_D,rms = (I_L1,avg + I_out) · √(1 − D_max)</t>
  </si>
  <si>
    <t xml:space="preserve">$I_{D,rms} = (I_{L1,avg} + I_{out}) \sqrt{1 - D_{max}}$</t>
  </si>
  <si>
    <t xml:space="preserve">V_DS,max = V_in,max + V_out + V_f</t>
  </si>
  <si>
    <t xml:space="preserve">$V_{DS,max} = V_{in,max} + V_{out} + V_f$</t>
  </si>
  <si>
    <t xml:space="preserve">Anahtar ve diyot (V_in + V_out) gerilim toplamına dayanmalıdır</t>
  </si>
  <si>
    <t xml:space="preserve">Seri Kuplaj Kapasitörü RMS Akımı (I_Cs,rms)</t>
  </si>
  <si>
    <t xml:space="preserve">I_Cs,rms = I_out · √[ D_max / (1 − D_max) ]</t>
  </si>
  <si>
    <t xml:space="preserve">$I_{C_s,rms} = I_{out} \sqrt{\frac{D_{max}}{1 - D_{max}}}$</t>
  </si>
  <si>
    <t xml:space="preserve">Seri enerji aktarım kapasitörü C_s yüksek RMS akım taşır (Seramik MLCC seçilmeli)</t>
  </si>
  <si>
    <t xml:space="preserve">Minimum Seri Kuplaj Kapasitansı (C_s,min — ΔV_Cs = %5·V_in)</t>
  </si>
  <si>
    <t xml:space="preserve">C_s,min = (I_out · D_max) / (f_sw · ΔV_Cs)</t>
  </si>
  <si>
    <t xml:space="preserve">$C_{s,min} = \frac{I_{out} \cdot D_{max}}{f_{sw} \cdot \Delta V_{C_s}}$</t>
  </si>
  <si>
    <t xml:space="preserve">C_s üzerindeki ortalama DC gerilim V_in kadardır</t>
  </si>
  <si>
    <t xml:space="preserve">SEPIC çıkış katı Boost ile aynı darbeli diyot akım karakteristiğine sahiptir</t>
  </si>
  <si>
    <t xml:space="preserve">Eşdeğer Paralel İndüktans (L_eq = L1 || L2)</t>
  </si>
  <si>
    <t xml:space="preserve">L_eq = (L_1 · L_2) / (L_1 + L_2)</t>
  </si>
  <si>
    <t xml:space="preserve">$L_{eq} = \frac{L_1 \cdot L_2}{L_1 + L_2}$</t>
  </si>
  <si>
    <t xml:space="preserve">Dinamik kontrol ve RHPZ hesabında kullanılan eşdeğer indüktans</t>
  </si>
  <si>
    <t xml:space="preserve">Sağ Yarı Düzlem Sıfırı Frekansı (f_RHPZ,min)</t>
  </si>
  <si>
    <t xml:space="preserve">f_RHPZ = (1 − D_max)² · R_load / (2π · D_max · L_eq)</t>
  </si>
  <si>
    <t xml:space="preserve">$f_{RHPZ} = \frac{(1 - D_{max})^2 \cdot R_{load}}{2\pi \cdot D_{max} \cdot L_{eq}}$</t>
  </si>
  <si>
    <t xml:space="preserve">Kontrol bant genişliği f_c &lt; f_RHPZ / 4 olarak sınırlandırılmalıdır</t>
  </si>
  <si>
    <t xml:space="preserve">İç LC Rezonans Frekansı (f_res,Cs — Kuplaj Kapasitörü ile)</t>
  </si>
  <si>
    <t xml:space="preserve">f_res = 1 / [ 2π · √(L_eq · C_s) ]</t>
  </si>
  <si>
    <t xml:space="preserve">$f_{res} = \frac{1}{2\pi \sqrt{L_{eq} \cdot C_s}}$</t>
  </si>
  <si>
    <t xml:space="preserve">Alt-harmonik salınım olmaması için f_res, çıkış f_LC'den yüksek ve f_sw'den düşük olmalıdır</t>
  </si>
  <si>
    <t xml:space="preserve">L2 Çıkış Bobini RMS Akımı (I_L2,rms)</t>
  </si>
  <si>
    <t xml:space="preserve">I_L2,rms = √[ I_out² + (ΔI_L)² / 12 ]</t>
  </si>
  <si>
    <t xml:space="preserve">$I_{L2,rms} = \sqrt{I_{out}^2 + \frac{\Delta I_L^2}{12}}$</t>
  </si>
  <si>
    <t xml:space="preserve">İkinci sargı (L2) etkin akımı</t>
  </si>
  <si>
    <t xml:space="preserve">Kuplajlı Nüve Toplam Alan-Çarpımı (Ap_total)</t>
  </si>
  <si>
    <t xml:space="preserve">A_p = L_coupled · I_SW,peak · (I_L1,rms + I_L2,rms) / (K_u · B_max · J_max)</t>
  </si>
  <si>
    <t xml:space="preserve">$A_p = \frac{L_{coupled} \cdot I_{SW,peak} \cdot (I_{L1,rms} + I_{L2,rms})}{K_u \cdot B_{max} \cdot J_{max}}$</t>
  </si>
  <si>
    <t xml:space="preserve">Tek nüveli kuplajlı SEPIC bobini için gereken nüve büyüklüğü</t>
  </si>
  <si>
    <t xml:space="preserve">Çıkış kapasitörü etkin ripple akımı</t>
  </si>
  <si>
    <t xml:space="preserve">MOSFET Toplam Kaybı (P_SW,tot)</t>
  </si>
  <si>
    <t xml:space="preserve">P_SW = I_SW,rms²·R_DS(on) + 0.5·(V_in + V_out)·(I_in + I_out)·t_sw·f_sw</t>
  </si>
  <si>
    <t xml:space="preserve">$P_{SW} = I_{SW,rms}^2 R_{DS(on)} + \frac{1}{2}(V_{in} + V_{out})(I_{in} + I_{out}) t_{sw} f_{sw}$</t>
  </si>
  <si>
    <t xml:space="preserve">Anahtarlama ve iletim kaybı toplamı</t>
  </si>
  <si>
    <t xml:space="preserve">Çıkış doğrultucu diyot güç kaybı</t>
  </si>
  <si>
    <t xml:space="preserve">Toplam ısıl kayıp</t>
  </si>
  <si>
    <t xml:space="preserve">L1 ve L2 Sargıları Toplam Bakır Tel Kesiti</t>
  </si>
  <si>
    <t xml:space="preserve">A_wire,tot = (I_L1,rms + I_L2,rms) / J_max</t>
  </si>
  <si>
    <t xml:space="preserve">$A_{wire,tot} = \frac{I_{L1,rms} + I_{L2,rms}}{J_{max}}$</t>
  </si>
  <si>
    <t xml:space="preserve">L1 ve L2 sargılarının toplam bakır pencere alanı ihtiyacı</t>
  </si>
  <si>
    <t xml:space="preserve">TOPOLOJİ 05: ĆUK CONVERTER (KAPASİTİF ENERJİ AKTARIMLI EVİREN — TI SLYU036A BÖLÜM 7)</t>
  </si>
  <si>
    <t xml:space="preserve">Hem Giriş Hem Çıkış Akımı Sürekli (Düşük Ripple/EMI) Negatif Çıkışlı Dönüştürücü, L1-L2-Cs-Cout Tasarımı</t>
  </si>
  <si>
    <t xml:space="preserve">P_out = |V_out| · I_out  (Çıkış: −V_out)</t>
  </si>
  <si>
    <t xml:space="preserve">Ćuk dönüştürücü negatif polariteli (−V_out) regüleli çıkış verir</t>
  </si>
  <si>
    <t xml:space="preserve">D_nom = (|V_out| + V_f) / (V_in,nom + |V_out| + V_f)</t>
  </si>
  <si>
    <t xml:space="preserve">$D_{nom} = \frac{|V_{out}| + V_f}{V_{in,nom} + |V_{out}| + V_f}$</t>
  </si>
  <si>
    <t xml:space="preserve">TI SLYU036A Bölüm 7 Ćuk CCM görev çevrimi</t>
  </si>
  <si>
    <t xml:space="preserve">D_max = (|V_out| + V_f) / (V_in,min + |V_out| + V_f)</t>
  </si>
  <si>
    <t xml:space="preserve">$D_{max} = \frac{|V_{out}| + V_f}{V_{in,min} + |V_{out}| + V_f}$</t>
  </si>
  <si>
    <t xml:space="preserve">Minimum giriş geriliminde maksimum duty cycle</t>
  </si>
  <si>
    <t xml:space="preserve">D_min = (|V_out| + V_f) / (V_in,max + |V_out| + V_f)</t>
  </si>
  <si>
    <t xml:space="preserve">$D_{min} = \frac{|V_{out}| + V_f}{V_{in,max} + |V_{out}| + V_f}$</t>
  </si>
  <si>
    <t xml:space="preserve">Maksimum giriş geriliminde minimum duty cycle</t>
  </si>
  <si>
    <t xml:space="preserve">Giriş Bobini L1 Maks. Ortalama Akımı (I_L1,avg = I_in,max)</t>
  </si>
  <si>
    <t xml:space="preserve">$I_{L1,avg} = \frac{I_{out} \cdot D_{max}}{(1 - D_{max}) \cdot \eta}$</t>
  </si>
  <si>
    <t xml:space="preserve">Giriş bobini L1 sürekli akım modunda çalışır</t>
  </si>
  <si>
    <t xml:space="preserve">L1 ve L2 Akım Dalgalanmaları (ΔI_L1 ve ΔI_L2)</t>
  </si>
  <si>
    <t xml:space="preserve">ΔI_L2 = I_out · (r_L / 100)</t>
  </si>
  <si>
    <t xml:space="preserve">$\Delta I_{L2} = I_{out} \cdot \frac{r_L}{100}$</t>
  </si>
  <si>
    <t xml:space="preserve">Çıkış bobini L2 üzerindeki tepeden tepeye akım dalgalanması</t>
  </si>
  <si>
    <t xml:space="preserve">Gerekli Giriş ve Çıkış İndüktansı (L1 = L2, Ayrık)</t>
  </si>
  <si>
    <t xml:space="preserve">Kuplajlı tek nüve kullanılırsa L1 = L2 yarı değere düşer</t>
  </si>
  <si>
    <t xml:space="preserve">I_SW,peak = I_L1,avg + I_L2,avg + ΔI_L</t>
  </si>
  <si>
    <t xml:space="preserve">$I_{SW,peak} = I_{L1,avg} + I_{out} + \Delta I_L$</t>
  </si>
  <si>
    <t xml:space="preserve">Anahtar iletimdeyken hem L1 hem L2 akımını birlikte taşır</t>
  </si>
  <si>
    <t xml:space="preserve">Anahtar etkin RMS akımı</t>
  </si>
  <si>
    <t xml:space="preserve">Diyot etkin RMS akımı</t>
  </si>
  <si>
    <t xml:space="preserve">Enerji Aktarım Kapasitörü Ortalama Gerilimi (V_Cs,max)</t>
  </si>
  <si>
    <t xml:space="preserve">V_Cs = V_in + |V_out|  (Maks: V_in,max + |V_out|)</t>
  </si>
  <si>
    <t xml:space="preserve">$V_{C_s,max} = V_{in,max} + |V_{out}|$</t>
  </si>
  <si>
    <t xml:space="preserve">DİKKAT: Ćuk kuplaj kapasitörü C_s üzerindeki DC gerilim V_in + |V_out| toplamıdır!</t>
  </si>
  <si>
    <t xml:space="preserve">Anahtar ve diyot V_Cs gerilimine kenetlenir</t>
  </si>
  <si>
    <t xml:space="preserve">Enerji aktarımı tamamen C_s üzerinden gerçekleşir</t>
  </si>
  <si>
    <t xml:space="preserve">I_Cout,rms = ΔI_L2 / √12</t>
  </si>
  <si>
    <t xml:space="preserve">$I_{C_{out},rms} = \frac{\Delta I_{L2}}{\sqrt{12}}$</t>
  </si>
  <si>
    <t xml:space="preserve">AVANTAJ: Çıkışta L2 bobini olduğu için C_out ripple akımı Buck gibi çok düşüktür!</t>
  </si>
  <si>
    <t xml:space="preserve">C_out,min = ΔI_L2 / (8 · f_sw · ΔV_out)</t>
  </si>
  <si>
    <t xml:space="preserve">$C_{out,min} = \frac{\Delta I_{L2}}{8 \cdot f_{sw} \cdot \Delta V_{out}}$</t>
  </si>
  <si>
    <t xml:space="preserve">Çok küçük bir çıkış kapasitörü ile ultra düşük ripple elde edilir</t>
  </si>
  <si>
    <t xml:space="preserve">Minimum Enerji Aktarım Kapasitansı (C_s,min @ %3 Ripple)</t>
  </si>
  <si>
    <t xml:space="preserve">C_s,min = (I_out · D_max) / [ f_sw · 0.03 · (V_in,min + |V_out|) ]</t>
  </si>
  <si>
    <t xml:space="preserve">Düşük kayıplı X7R/C0G seramik veya film kapasitör kullanılmalıdır</t>
  </si>
  <si>
    <t xml:space="preserve">Sıfır-Ripple (Zero-Ripple) Kuplaj Katsayısı (k_opt)</t>
  </si>
  <si>
    <t xml:space="preserve">k_opt = √(L_1 / L_2)  (Simetrik sargıda k ≈ n_2 / n_1)</t>
  </si>
  <si>
    <t xml:space="preserve">$k = \frac{M}{\sqrt{L_1 L_2}} = \sqrt{\frac{L_1}{L_2}}$</t>
  </si>
  <si>
    <t xml:space="preserve">Ćuk topolojisinde L1 ve L2 uygun hava aralığıyla kuplanırsa çıkış ripple'ı teorik olarak 0 yapılabilir</t>
  </si>
  <si>
    <t xml:space="preserve">Kapasitif enerji aktarımı sebebiyle kontrol döngüsünde RHPZ mevcuttur</t>
  </si>
  <si>
    <t xml:space="preserve">Çıkış LC Filtre Köşe Frekansı (f_LC,out)</t>
  </si>
  <si>
    <t xml:space="preserve">f_LC = 1 / [ 2π · √(L_2 · C_out) ]</t>
  </si>
  <si>
    <t xml:space="preserve">$f_{LC} = \frac{1}{2\pi \sqrt{L_2 \cdot C_{out}}}$</t>
  </si>
  <si>
    <t xml:space="preserve">Çıkış filtresi kesim frekansı</t>
  </si>
  <si>
    <t xml:space="preserve">Çıkış Kapasitörü Maksimum ESR Değeri (ESR_max)</t>
  </si>
  <si>
    <t xml:space="preserve">ESR_max = ΔV_out / ΔI_L2</t>
  </si>
  <si>
    <t xml:space="preserve">$ESR_{max} = \frac{\Delta V_{out}}{\Delta I_{L2}}$</t>
  </si>
  <si>
    <t xml:space="preserve">SEPIC'e kıyasla çok daha gevşek (kolay) ESR gereksinimi</t>
  </si>
  <si>
    <t xml:space="preserve">Toplam Nüve Alan-Çarpımı (Ap_total)</t>
  </si>
  <si>
    <t xml:space="preserve">A_p = L · I_SW,peak · (I_L1,rms + I_L2,rms) / (K_u · B_max · J_max)</t>
  </si>
  <si>
    <t xml:space="preserve">$A_p = \frac{L \cdot I_{SW,peak} (I_{L1,rms} + I_{L2,rms})}{K_u B_{max} J_{max}}$</t>
  </si>
  <si>
    <t xml:space="preserve">L1+L2 birleşik nüve boyutlandırma parametresi</t>
  </si>
  <si>
    <t xml:space="preserve">MOSFET Toplam Güç Kaybı (P_SW,tot)</t>
  </si>
  <si>
    <t xml:space="preserve">P_SW = I_SW,rms²·R_DS(on) + 0.5·(V_in + |V_out|)·(I_in + I_out)·t_sw·f_sw</t>
  </si>
  <si>
    <t xml:space="preserve">$P_{SW} = I_{SW,rms}^2 R_{DS(on)} + \frac{1}{2}(V_{in} + |V_{out}|)(I_{in} + I_{out}) t_{sw} f_{sw}$</t>
  </si>
  <si>
    <t xml:space="preserve">MOSFET iletim + anahtarlama kaybı</t>
  </si>
  <si>
    <t xml:space="preserve">Diyot ortalama akımı I_out'a eşittir</t>
  </si>
  <si>
    <t xml:space="preserve">Toplam Sargı Bakır Tel Kesiti (A_wire,tot)</t>
  </si>
  <si>
    <t xml:space="preserve">L1 ve L2 sargıları toplam iletken kesiti</t>
  </si>
  <si>
    <t xml:space="preserve">TOPOLOJİ 06: ZETA CONVERTER (TERS SEPIC / RHPZ'SİZ POZİTİF BUCK-BOOST — TI SLYU036A BÖLÜM 8)</t>
  </si>
  <si>
    <t xml:space="preserve">Pozitif Çıkışlı, Sürekli Çıkış Akımlı ve Sağ Yarı Düzlem Sıfırı (RHPZ) İçermeyen Buck-Boost Dönüştürücü</t>
  </si>
  <si>
    <t xml:space="preserve">Zeta dönüştürücü pozitif çıkış gerilimi ve çok düşük çıkış ripple üretir</t>
  </si>
  <si>
    <t xml:space="preserve">TI SLYU036A Bölüm 8 Zeta CCM görev çevrimi</t>
  </si>
  <si>
    <t xml:space="preserve">En düşük giriş geriliminde maksimum duty cycle</t>
  </si>
  <si>
    <t xml:space="preserve">En yüksek giriş geriliminde minimum duty cycle</t>
  </si>
  <si>
    <t xml:space="preserve">L1 Mıknatıslanma Bobini Ortalama Akımı (I_L1,avg = I_in,max)</t>
  </si>
  <si>
    <t xml:space="preserve">L1 ortalama akımı giriş akımına, L2 çıkış bobini ortalama akımı ise I_out'a eşittir</t>
  </si>
  <si>
    <t xml:space="preserve">Hedef Bobin Akım Dalgalanması (ΔI_L)</t>
  </si>
  <si>
    <t xml:space="preserve">Tepeden tepeye bobin akım salınımı</t>
  </si>
  <si>
    <t xml:space="preserve">Ayrık bobin kullanılırsa bu değerin 2 katı (2 × L_coupled) seçilir</t>
  </si>
  <si>
    <t xml:space="preserve">Üst Kol MOSFET ve Diyot Tepe Akımı (I_SW,peak = I_D,peak)</t>
  </si>
  <si>
    <t xml:space="preserve">I_SW,peak = I_L1,avg + I_out + ΔI_L</t>
  </si>
  <si>
    <t xml:space="preserve">Zeta'da anahtar üst kolda (High-Side) yer alır ve toplam tepe akımı taşır</t>
  </si>
  <si>
    <t xml:space="preserve">High-side MOSFET etkin akımı</t>
  </si>
  <si>
    <t xml:space="preserve">Alt kol serbest süreç diyotu RMS akımı</t>
  </si>
  <si>
    <t xml:space="preserve">Seri Kuplaj Kapasitörü Gerilimi (V_Cs = V_out)</t>
  </si>
  <si>
    <t xml:space="preserve">V_Cs,avg = V_out</t>
  </si>
  <si>
    <t xml:space="preserve">$V_{C_s,avg} = V_{out}$</t>
  </si>
  <si>
    <t xml:space="preserve">TI SLYU036A Bölüm 8: Zeta'da kuplaj kapasitörü ortalama gerilimi sabit ve V_out kadardır!</t>
  </si>
  <si>
    <t xml:space="preserve">Anahtar ve diyot gerilim stresi</t>
  </si>
  <si>
    <t xml:space="preserve">Kuplaj kapasitörü etkin akımı</t>
  </si>
  <si>
    <t xml:space="preserve">AVANTAJ: SEPIC'in aksine çıkışta L2 bobini bulunduğundan C_out ripple akımı çok düşüktür</t>
  </si>
  <si>
    <t xml:space="preserve">Düşük çıkış kapasitansı ile çok temiz DC çıkış elde edilir</t>
  </si>
  <si>
    <t xml:space="preserve">I_Cin,rms ≈ (I_in,max + I_out) · √[ D_max · (1 − D_max) ]</t>
  </si>
  <si>
    <t xml:space="preserve">$I_{C_{in},rms} \approx (I_{in,max} + I_{out}) \sqrt{D_{max}(1 - D_{max})}$</t>
  </si>
  <si>
    <t xml:space="preserve">Girişte üst kol anahtar bulunduğu için giriş akımı darbelidir; C_in düşük ESR'li seçilmelidir</t>
  </si>
  <si>
    <t xml:space="preserve">Minimum Seri Kuplaj Kapasitansı (C_s,min @ %3·V_out)</t>
  </si>
  <si>
    <t xml:space="preserve">C_s,min = (I_out · D_max) / (f_sw · 0.03 · V_out)</t>
  </si>
  <si>
    <t xml:space="preserve">$C_{s,min} = \frac{I_{out} \cdot D_{max}}{f_{sw} \cdot 0.03 \cdot V_{out}}$</t>
  </si>
  <si>
    <t xml:space="preserve">Seri kuplaj kapasitörü minimum değeri</t>
  </si>
  <si>
    <t xml:space="preserve">Önerilen Kontrol Bant Genişliği (f_c — RHPZ Yoktur!)</t>
  </si>
  <si>
    <t xml:space="preserve">f_c ≈ f_sw / 7  (RHPZ olmadığı için yüksek bant genişliği)</t>
  </si>
  <si>
    <t xml:space="preserve">$f_c \approx \frac{f_{sw}}{7}$</t>
  </si>
  <si>
    <t xml:space="preserve">EN BÜYÜK AVANTAJ: Zeta topolojisi RHPZ içermez, SEPIC'ten çok daha hızlı transient yanıt verir</t>
  </si>
  <si>
    <t xml:space="preserve">Çıkış LC rezonans frekansı</t>
  </si>
  <si>
    <t xml:space="preserve">Maksimum izin verilen çıkış kapasitör ESR değeri</t>
  </si>
  <si>
    <t xml:space="preserve">Kuplajlı Nüve Alan-Çarpımı (Ap_total)</t>
  </si>
  <si>
    <t xml:space="preserve">$A_p = \frac{L_{coupled} \cdot I_{SW,peak} (I_{L1,rms} + I_{L2,rms})}{K_u B_{max} J_{max}}$</t>
  </si>
  <si>
    <t xml:space="preserve">Kuplajlı indüktör nüve büyüklüğü</t>
  </si>
  <si>
    <t xml:space="preserve">Üst kol MOSFET toplam kaybı</t>
  </si>
  <si>
    <t xml:space="preserve">Alt kol diyot iletim kaybı</t>
  </si>
  <si>
    <t xml:space="preserve">L1 ve L2 sargıları toplam bakır kesiti</t>
  </si>
  <si>
    <t xml:space="preserve">TOPOLOJİ 07: FLYBACK CONVERTER (TEK ANAHTARLI İZOLELİ DÖNÜŞTÜRÜCÜ — TI SLYU036A BÖLÜM 9)</t>
  </si>
  <si>
    <t xml:space="preserve">Birleşik Trafo-İndüktör (L_m) Tasarımı, Yansıyan Gerilim (V_OR), RCD Snubber ve CCM/DCM Analizi</t>
  </si>
  <si>
    <t xml:space="preserve">60W Evrensel AC-DC veya yüksek gerilim DC-DC Flyback örneği</t>
  </si>
  <si>
    <t xml:space="preserve">Primer Yansıyan Çıkış Gerilimi (V_OR = n · (V_out + V_f))</t>
  </si>
  <si>
    <t xml:space="preserve">V_OR = (N_p / N_s) · (V_out + V_f) = n · (V_out + V_f)</t>
  </si>
  <si>
    <t xml:space="preserve">$V_{OR} = \frac{N_p}{N_s} (V_{out} + V_f)$</t>
  </si>
  <si>
    <t xml:space="preserve">MOSFET kesime gittiğinde sekonderden primere yansıyan gerilim</t>
  </si>
  <si>
    <t xml:space="preserve">D_max = n·(V_out + V_f) / [ V_in,min + n·(V_out + V_f) ]</t>
  </si>
  <si>
    <t xml:space="preserve">$D_{max} = \frac{n(V_{out} + V_f)}{V_{in,min} + n(V_{out} + V_f)}$</t>
  </si>
  <si>
    <t xml:space="preserve">TI SLYU036A Bölüm 9: Flyback CCM maksimum görev çevrimi</t>
  </si>
  <si>
    <t xml:space="preserve">D_nom = V_OR / (V_in,nom + V_OR)</t>
  </si>
  <si>
    <t xml:space="preserve">$D_{nom} = \frac{V_{OR}}{V_{in,nom} + V_{OR}}$</t>
  </si>
  <si>
    <t xml:space="preserve">Nominal giriş gerilimindeki görev çevrimi</t>
  </si>
  <si>
    <t xml:space="preserve">Primer Mıknatıslanma Ortalama Akımı (I_Lm,avg @ D_max)</t>
  </si>
  <si>
    <t xml:space="preserve">I_Lm,avg = P_in / (V_in,min · D_max)</t>
  </si>
  <si>
    <t xml:space="preserve">$I_{Lm,avg} = \frac{P_{in}}{V_{in,min} \cdot D_{max}}$</t>
  </si>
  <si>
    <t xml:space="preserve">İletim süresince primer sargıdan geçen ortalama mıknatıslanma akımı</t>
  </si>
  <si>
    <t xml:space="preserve">Primer Mıknatıslanma Akım Dalgalanması (ΔI_Lm)</t>
  </si>
  <si>
    <t xml:space="preserve">ΔI_Lm = I_Lm,avg · (r_L / 100)</t>
  </si>
  <si>
    <t xml:space="preserve">$\Delta I_{Lm} = I_{Lm,avg} \cdot \frac{r_L}{100}$</t>
  </si>
  <si>
    <t xml:space="preserve">Primer mıknatıslanma endüktansı tepeden tepeye akım salınımı</t>
  </si>
  <si>
    <t xml:space="preserve">Gerekli Primer Mıknatıslanma Endüktansı (L_m)</t>
  </si>
  <si>
    <t xml:space="preserve">L_m = (V_in,min · D_max) / (ΔI_Lm · f_sw)</t>
  </si>
  <si>
    <t xml:space="preserve">$L_m = \frac{V_{in,min} \cdot D_{max}}{\Delta I_{Lm} \cdot f_{sw}}$</t>
  </si>
  <si>
    <t xml:space="preserve">Hava aralıklı Flyback trafosunun primer mıknatıslanma endüktansı</t>
  </si>
  <si>
    <t xml:space="preserve">Primer MOSFET Tepe Akımı (I_SW,peak)</t>
  </si>
  <si>
    <t xml:space="preserve">I_SW,peak = I_Lm,avg + ΔI_Lm / 2</t>
  </si>
  <si>
    <t xml:space="preserve">$I_{SW,peak} = I_{Lm,avg} + \frac{\Delta I_{Lm}}{2}$</t>
  </si>
  <si>
    <t xml:space="preserve">Primer akım algılama direnci (R_sense) eşik hesabı için tepe akım</t>
  </si>
  <si>
    <t xml:space="preserve">Primer MOSFET RMS Akımı (I_SW,rms)</t>
  </si>
  <si>
    <t xml:space="preserve">I_SW,rms = √[ D_max · (I_Lm,avg² + ΔI_Lm² / 12) ]</t>
  </si>
  <si>
    <t xml:space="preserve">$I_{SW,rms} = \sqrt{D_{max} \left(I_{Lm,avg}^2 + \frac{\Delta I_{Lm}^2}{12}\right)}$</t>
  </si>
  <si>
    <t xml:space="preserve">Primer sargı ve MOSFET RMS akımı</t>
  </si>
  <si>
    <t xml:space="preserve">Sekonder Diyot Tepe ve RMS Akımı (I_D,rms)</t>
  </si>
  <si>
    <t xml:space="preserve">I_D,rms = n · √[ (1 − D_max) · (I_Lm,avg² + ΔI_Lm² / 12) ]</t>
  </si>
  <si>
    <t xml:space="preserve">$I_{D,rms} = n \sqrt{(1 - D_{max}) \left(I_{Lm,avg}^2 + \frac{\Delta I_{Lm}^2}{12}\right)}$</t>
  </si>
  <si>
    <t xml:space="preserve">Sekonder sargı ve doğrultucu diyot RMS akımı</t>
  </si>
  <si>
    <t xml:space="preserve">MOSFET Maksimum Gerilim Stresi (V_DS,max — %25 Snubber Paylı)</t>
  </si>
  <si>
    <t xml:space="preserve">V_DS,max = V_in,max + n·(V_out + V_f) + ΔV_clamp</t>
  </si>
  <si>
    <t xml:space="preserve">$V_{DS,max} = V_{in,max} + n(V_{out} + V_f) + \Delta V_{clamp}$</t>
  </si>
  <si>
    <t xml:space="preserve">TI SLYW038B: Kaçak endüktans spike'ı dahil MOSFET drain-source gerilimi (650V/800V FET)</t>
  </si>
  <si>
    <t xml:space="preserve">Sekonder Diyot Ters Gerilim Stresi (V_R,max)</t>
  </si>
  <si>
    <t xml:space="preserve">V_R,max = V_out + (V_in,max / n)</t>
  </si>
  <si>
    <t xml:space="preserve">$V_{R,max} = V_{out} + \frac{V_{in,max}}{n}$</t>
  </si>
  <si>
    <t xml:space="preserve">Sekonder doğrultucu diyot (veya SR FET) ters dayanım gerilimi</t>
  </si>
  <si>
    <t xml:space="preserve">Flyback çıkış kapasitörü çok yüksek darbeli akım süzer</t>
  </si>
  <si>
    <t xml:space="preserve">Minimum çıkış filtre kapasitansı</t>
  </si>
  <si>
    <t xml:space="preserve">Maksimum Çıkış Kapasitörü ESR Sınırı (ESR_max)</t>
  </si>
  <si>
    <t xml:space="preserve">ESR_max = ΔV_out / (n · I_SW,peak)</t>
  </si>
  <si>
    <t xml:space="preserve">$ESR_{max} = \frac{\Delta V_{out}}{n \cdot I_{SW,peak}}$</t>
  </si>
  <si>
    <t xml:space="preserve">Sekondere aktarılan tepe akım basamağı (n·I_SW,peak) ESR ripple'ını belirler</t>
  </si>
  <si>
    <t xml:space="preserve">Tahmini Kaçak Endüktans (L_lk ≈ %2 · L_m)</t>
  </si>
  <si>
    <t xml:space="preserve">L_lk ≈ 0.02 · L_m  (Sandviç sargıda %1 – %2.5)</t>
  </si>
  <si>
    <t xml:space="preserve">$L_{lk} \approx 0.02 \cdot L_m$</t>
  </si>
  <si>
    <t xml:space="preserve">Primer-sekonder arası kuplajdan kaçan kaçak endüktans</t>
  </si>
  <si>
    <t xml:space="preserve">RCD Clamp / Snubber Güç Kaybı (P_snub @ V_clamp = 1.35·V_OR)</t>
  </si>
  <si>
    <t xml:space="preserve">P_snub = 0.5 · L_lk · I_SW,peak² · f_sw · [ V_snub / (V_snub − V_OR) ]</t>
  </si>
  <si>
    <t xml:space="preserve">$P_{snub} = \frac{1}{2} L_{lk} I_{SW,peak}^2 f_{sw} \frac{V_{snub}}{V_{snub} - V_{OR}}$</t>
  </si>
  <si>
    <t xml:space="preserve">Kaçak endüktans enerjisinin RCD snubber direncinde ısıya dönüşen gücü</t>
  </si>
  <si>
    <t xml:space="preserve">Önerilen RCD Snubber Direnci (R_snub)</t>
  </si>
  <si>
    <t xml:space="preserve">Ω</t>
  </si>
  <si>
    <t xml:space="preserve">R_snub = V_snub² / P_snub</t>
  </si>
  <si>
    <t xml:space="preserve">$R_{snub} = \frac{V_{snub}^2}{P_{snub}}$</t>
  </si>
  <si>
    <t xml:space="preserve">En az 2 × P_snub güç değerinde (W) direnç seçilmelidir</t>
  </si>
  <si>
    <t xml:space="preserve">Sekondere Yansıyan RHPZ Frekansı (f_RHPZ,min)</t>
  </si>
  <si>
    <t xml:space="preserve">f_RHPZ = (1 − D_max)² · R_load · n² / (2π · D_max · L_m)</t>
  </si>
  <si>
    <t xml:space="preserve">$f_{RHPZ} = \frac{(1 - D_{max})^2 R_{load} n^2}{2\pi D_{max} L_m}$</t>
  </si>
  <si>
    <t xml:space="preserve">CCM Flyback'te optokuplör/TL431 geri besleme bant genişliği f_RHPZ/4'ü aşmamalıdır</t>
  </si>
  <si>
    <t xml:space="preserve">Trafo Nüve Alan-Çarpımı (Ap = A_e · A_w)</t>
  </si>
  <si>
    <t xml:space="preserve">A_p = L_m · I_SW,peak · (I_SW,rms + I_D,rms/n) / (K_u · B_max · J_max)</t>
  </si>
  <si>
    <t xml:space="preserve">$A_p = \frac{L_m I_{SW,peak} (I_{SW,rms} + I_{D,rms}/n)}{K_u B_{max} J_{max}}$</t>
  </si>
  <si>
    <t xml:space="preserve">İzolasyon bantları nedeniyle pencere doluluk faktörü K_u = 0.30 alınmıştır</t>
  </si>
  <si>
    <t xml:space="preserve">Yaklaşık Ferrit Nüve Hava Aralığı Uzunluğu (l_g @ A_e≈1.2cm²)</t>
  </si>
  <si>
    <t xml:space="preserve">mm</t>
  </si>
  <si>
    <t xml:space="preserve">l_g = (μ_0 · L_m · I_SW,peak²) / (A_e · B_max²)</t>
  </si>
  <si>
    <t xml:space="preserve">$l_g = \frac{\mu_0 L_m I_{SW,peak}^2}{A_e B_{max}^2}$</t>
  </si>
  <si>
    <t xml:space="preserve">Ferrit nüvenin doymaması için merkez bacağa bırakılacak hava boşluğu</t>
  </si>
  <si>
    <t xml:space="preserve">MOSFET İletim ve Anahtarlama Kaybı (P_SW,tot)</t>
  </si>
  <si>
    <t xml:space="preserve">P_SW = I_SW,rms²·R_DS(on) + 0.5·(V_in + V_OR)·I_Lm,avg·t_sw·f_sw</t>
  </si>
  <si>
    <t xml:space="preserve">$P_{SW} = I_{SW,rms}^2 R_{DS(on)} + \frac{1}{2}(V_{in} + V_{OR}) I_{Lm,avg} t_{sw} f_{sw}$</t>
  </si>
  <si>
    <t xml:space="preserve">Primer anahtar toplam kaybı</t>
  </si>
  <si>
    <t xml:space="preserve">Sekonder Doğrultucu Kaybı (P_D)</t>
  </si>
  <si>
    <t xml:space="preserve">Düşük gerilim / yüksek akım çıkışta Senkron Doğrultucu (SR) önerilir</t>
  </si>
  <si>
    <t xml:space="preserve">Primer ve Sekonder Bakır Tel Kesitleri Oranı (A_sec / A_pri)</t>
  </si>
  <si>
    <t xml:space="preserve">A_sec = I_D,rms / J_max  |  A_pri = I_SW,rms / J_max</t>
  </si>
  <si>
    <t xml:space="preserve">$\frac{A_{sec}}{A_{pri}} = \frac{I_{D,rms}}{I_{SW,rms}}$</t>
  </si>
  <si>
    <t xml:space="preserve">Sekonder akımı n kat büyük olduğundan folyo veya çoklu Litz sargısı kullanılır</t>
  </si>
  <si>
    <t xml:space="preserve">TOPOLOJİ 08: TWO-SWITCH FLYBACK CONVERTER (ÇİFT ANAHTARLI FLYBACK — TI SLYU036A BÖLÜM 10)</t>
  </si>
  <si>
    <t xml:space="preserve">Kaçak Endüktans Enerjisini Giriş Barasına Geri Kazandıran (Kayıpsız Clamping) Çift Anahtarlı İzole Topoloji (D &lt; 0.5)</t>
  </si>
  <si>
    <t xml:space="preserve">100W–250W endüstriyel güç kaynaklarında RCD snubber kaybını sıfırlayan yapı</t>
  </si>
  <si>
    <t xml:space="preserve">Primer Yansıyan Çıkış Gerilimi (V_OR = n·(V_out + V_f))</t>
  </si>
  <si>
    <t xml:space="preserve">V_OR = n · (V_out + V_f)  (Şart: V_OR &lt; V_in,min ⇒ D_max &lt; 0.5)</t>
  </si>
  <si>
    <t xml:space="preserve">$V_{OR} = n(V_{out} + V_f) &lt; V_{in,min}$</t>
  </si>
  <si>
    <t xml:space="preserve">KRİTİK KURAL: Clamping diyotlarının normal çalışması için V_OR &lt; V_in,min olmalıdır!</t>
  </si>
  <si>
    <t xml:space="preserve">Maksimum Görev Çevrimi (D_max @ V_in,min — Sınır &lt; 0.50)</t>
  </si>
  <si>
    <t xml:space="preserve">Oran (&lt;0.5)</t>
  </si>
  <si>
    <t xml:space="preserve">D_max = V_OR / (V_in,min + V_OR) &lt; 0.50</t>
  </si>
  <si>
    <t xml:space="preserve">$D_{max} = \frac{V_{OR}}{V_{in,min} + V_{OR}} &lt; 0.5$</t>
  </si>
  <si>
    <t xml:space="preserve">TI SLYU036A Bölüm 10: İki anahtarlı Flyback'te D_max 0.5'i geçemez</t>
  </si>
  <si>
    <t xml:space="preserve">Nominal çalışma duty cycle değeri</t>
  </si>
  <si>
    <t xml:space="preserve">Primer Mıknatıslanma Ortalama Akımı (I_Lm,avg)</t>
  </si>
  <si>
    <t xml:space="preserve">Primer ortalama mıknatıslanma akımı</t>
  </si>
  <si>
    <t xml:space="preserve">Tepeden tepeye mıknatıslanma akımı ripple'ı</t>
  </si>
  <si>
    <t xml:space="preserve">Primer mıknatıslanma endüktansı</t>
  </si>
  <si>
    <t xml:space="preserve">Her Bir MOSFET Tepe Akımı (I_SW1,peak = I_SW2,peak)</t>
  </si>
  <si>
    <t xml:space="preserve">Üst ve alt MOSFET aynı anda iletime girip kesime çıkar</t>
  </si>
  <si>
    <t xml:space="preserve">Her Bir MOSFET RMS Akımı (I_SW1,rms = I_SW2,rms)</t>
  </si>
  <si>
    <t xml:space="preserve">İki seri anahtarın her birinden geçen RMS akım</t>
  </si>
  <si>
    <t xml:space="preserve">MOSFET Maksimum Gerilim Stresi (V_DS,max = V_in,max!)</t>
  </si>
  <si>
    <t xml:space="preserve">V_DS,max = V_in,max  (Diyotlar V_in,max'a kenetler!)</t>
  </si>
  <si>
    <t xml:space="preserve">$V_{DS,max} = V_{in,max}$</t>
  </si>
  <si>
    <t xml:space="preserve">EN BÜYÜK AVANTAJ: Tek anahtarlı Flyback'teki V_OR + Spike gerilimi burada oluşmaz!</t>
  </si>
  <si>
    <t xml:space="preserve">Sekonder Diyot RMS Akımı (I_D,rms)</t>
  </si>
  <si>
    <t xml:space="preserve">Sekonder doğrultucu etkin akımı</t>
  </si>
  <si>
    <t xml:space="preserve">Sekonder diyot ters dayanım gerilimi</t>
  </si>
  <si>
    <t xml:space="preserve">Çıkış kapasitörü RMS ripple akımı</t>
  </si>
  <si>
    <t xml:space="preserve">Çıkış gerilim dalgalanmasını sınırlayan kapasitans</t>
  </si>
  <si>
    <t xml:space="preserve">Çıkış kapasitörü maksimum ESR sınırı</t>
  </si>
  <si>
    <t xml:space="preserve">Geri Kazanılan Kaçak Endüktans Gücü (P_rec @ L_lk = %2·L_m)</t>
  </si>
  <si>
    <t xml:space="preserve">P_recovered = 0.5 · L_lk · I_SW,peak² · f_sw</t>
  </si>
  <si>
    <t xml:space="preserve">$P_{recovered} = \frac{1}{2} L_{lk} I_{SW,peak}^2 f_{sw}$</t>
  </si>
  <si>
    <t xml:space="preserve">RCD snubber'da yanmak yerine 2 clamping diyotu ile V_in barasına geri basılan güç!</t>
  </si>
  <si>
    <t xml:space="preserve">Clamping Diyotları Sıfırlama Süresi (t_clamp @ L_lk=%2·L_m)</t>
  </si>
  <si>
    <t xml:space="preserve">ns</t>
  </si>
  <si>
    <t xml:space="preserve">t_clamp = (L_lk · I_SW,peak) / (V_in,min − V_OR)</t>
  </si>
  <si>
    <t xml:space="preserve">$t_{clamp} = \frac{L_{lk} \cdot I_{SW,peak}}{V_{in,min} - V_{OR}}$</t>
  </si>
  <si>
    <t xml:space="preserve">Kesim anında kaçak endüktans akımının sıfırlanma süresi (ns)</t>
  </si>
  <si>
    <t xml:space="preserve">Clamping Diyotları Ortalama Akımı (I_Dclamp,avg)</t>
  </si>
  <si>
    <t xml:space="preserve">I_Dclamp,avg = 0.5 · I_SW,peak · t_clamp · f_sw</t>
  </si>
  <si>
    <t xml:space="preserve">$I_{D_{clamp},avg} = \frac{1}{2} I_{SW,peak} t_{clamp} f_{sw}$</t>
  </si>
  <si>
    <t xml:space="preserve">Primer kenetleme diyotları (D1, D2) hızlı (ultrafast/SiC) seçilmelidir</t>
  </si>
  <si>
    <t xml:space="preserve">CCM kontrol döngüsü RHPZ sınırı</t>
  </si>
  <si>
    <t xml:space="preserve">Gerekli minimum ferrit trafo nüve çarpımı</t>
  </si>
  <si>
    <t xml:space="preserve">2× MOSFET Toplam İletim Kaybı (P_cond,2SW)</t>
  </si>
  <si>
    <t xml:space="preserve">P_cond,2SW = 2 · I_SW,rms² · R_DS(on)</t>
  </si>
  <si>
    <t xml:space="preserve">$P_{cond,2SW} = 2 \cdot I_{SW,rms}^2 \cdot R_{DS(on)}$</t>
  </si>
  <si>
    <t xml:space="preserve">İki MOSFET seri olduğu için iletim kaybı 2 katıdır ancak daha düşük V_DS'li (düşük R_DSon) FET kullanılır</t>
  </si>
  <si>
    <t xml:space="preserve">2× MOSFET Toplam Anahtarlama Kaybı (P_sw,2SW)</t>
  </si>
  <si>
    <t xml:space="preserve">P_sw,2SW = V_in · I_Lm,avg · t_sw · f_sw</t>
  </si>
  <si>
    <t xml:space="preserve">$P_{sw,2SW} = V_{in} I_{Lm,avg} t_{sw} f_{sw}$</t>
  </si>
  <si>
    <t xml:space="preserve">Toplam anahtarlama geçiş kaybı</t>
  </si>
  <si>
    <t xml:space="preserve">Sekonder Diyot İletim Kaybı (P_D)</t>
  </si>
  <si>
    <t xml:space="preserve">Sekonder doğrultucu kaybı</t>
  </si>
  <si>
    <t xml:space="preserve">Primer Sargı Tel Kesiti (A_wire,pri)</t>
  </si>
  <si>
    <t xml:space="preserve">A_wire,pri = I_SW,rms / J_max</t>
  </si>
  <si>
    <t xml:space="preserve">$A_{wire,pri} = \frac{I_{SW,rms}}{J_{max}}$</t>
  </si>
  <si>
    <t xml:space="preserve">Primer sargı iletken kesiti</t>
  </si>
  <si>
    <t xml:space="preserve">TOPOLOJİ 09: ACTIVE CLAMP FORWARD CONVERTER (AKTİF KENETLEMELİ FORWARD — TI SLYU036A BÖLÜM 11)</t>
  </si>
  <si>
    <t xml:space="preserve">Yardımcı Anahtar + C_clamp ile Simetrik Trafo Sıfırlama, D &gt; 0.5 Çalışabilme ve ZVS Yumuşak Anahtarlama</t>
  </si>
  <si>
    <t xml:space="preserve">Telekom 48V (36V–72V) girişli yüksek verimli izole DC-DC standardı</t>
  </si>
  <si>
    <t xml:space="preserve">D_nom = n · (V_out + V_f) / V_in,nom</t>
  </si>
  <si>
    <t xml:space="preserve">$D_{nom} = \frac{N_p}{N_s} \frac{V_{out} + V_f}{V_{in,nom}}$</t>
  </si>
  <si>
    <t xml:space="preserve">TI SLYU036A Bölüm 11: Buck türevi doğrusal görev çevrimi</t>
  </si>
  <si>
    <t xml:space="preserve">D_max = n · (V_out + V_f) / V_in,min  (D_max &gt; 0.5 olabilir!)</t>
  </si>
  <si>
    <t xml:space="preserve">$D_{max} = \frac{N_p}{N_s} \frac{V_{out} + V_f}{V_{in,min}}$</t>
  </si>
  <si>
    <t xml:space="preserve">Aktif clamp sayesinde klasik Forward'daki D &lt; 0.5 sınırı aşılabilir (D_max ≈ 0.65–0.70)</t>
  </si>
  <si>
    <t xml:space="preserve">D_min = n · (V_out + V_f) / V_in,max</t>
  </si>
  <si>
    <t xml:space="preserve">$D_{min} = \frac{N_p}{N_s} \frac{V_{out} + V_f}{V_{in,max}}$</t>
  </si>
  <si>
    <t xml:space="preserve">Çıkış İndüktörü Akım Dalgalanması (ΔI_Lout)</t>
  </si>
  <si>
    <t xml:space="preserve">Sekonder çıkış filtre bobini tepeden tepeye akım dalgalanması</t>
  </si>
  <si>
    <t xml:space="preserve">Gerekli Sekonder Çıkış İndüktansı (L_out @ V_in,max)</t>
  </si>
  <si>
    <t xml:space="preserve">L_out = [ (V_in,max / n) − V_out − V_f ] · D_min / (ΔI_L · f_sw)</t>
  </si>
  <si>
    <t xml:space="preserve">$L_{out} = \frac{(V_{in,max}/n - V_{out} - V_f) D_{min}}{\Delta I_L \cdot f_{sw}}$</t>
  </si>
  <si>
    <t xml:space="preserve">Sekonder çıkış bobini (Buck bobini gibi çalışır)</t>
  </si>
  <si>
    <t xml:space="preserve">Aktif Clamp Kapasitörü Gerilimi (V_Cclamp @ D_max)</t>
  </si>
  <si>
    <t xml:space="preserve">V_Cclamp = V_in · D / (1 − D)</t>
  </si>
  <si>
    <t xml:space="preserve">$V_{C_{clamp}} = V_{in} \frac{D}{1 - D}$</t>
  </si>
  <si>
    <t xml:space="preserve">TI SLYU036A Bölüm 11: Sıfırlama süresince (1−D) trafo primerine uygulanan ters gerilim</t>
  </si>
  <si>
    <t xml:space="preserve">Ana MOSFET Maksimum Gerilim Stresi (V_DS,main,max)</t>
  </si>
  <si>
    <t xml:space="preserve">V_DS,max = V_in + V_Cclamp = V_in / (1 − D)</t>
  </si>
  <si>
    <t xml:space="preserve">$V_{DS,max} = \frac{V_{in}}{1 - D}$</t>
  </si>
  <si>
    <t xml:space="preserve">hem V_in,min/ (1−D_max) hem V_in,max / (1−D_min) kontrol edilmelidir</t>
  </si>
  <si>
    <t xml:space="preserve">Primer Ana MOSFET RMS Akımı (I_SW,rms)</t>
  </si>
  <si>
    <t xml:space="preserve">I_SW,rms ≈ (I_out / n) · √D_max</t>
  </si>
  <si>
    <t xml:space="preserve">$I_{SW,rms} \approx \frac{I_{out}}{n} \sqrt{D_{max}}$</t>
  </si>
  <si>
    <t xml:space="preserve">Sekonder yük akımının primere yansıyan RMS değeri + mıknatıslanma akımı</t>
  </si>
  <si>
    <t xml:space="preserve">Sekonder İleri (Forward) Diyot D1 RMS Akımı</t>
  </si>
  <si>
    <t xml:space="preserve">I_D1,rms = I_out · √D_max</t>
  </si>
  <si>
    <t xml:space="preserve">$I_{D1,rms} = I_{out} \sqrt{D_{max}}$</t>
  </si>
  <si>
    <t xml:space="preserve">İletim fazında akım taşıyan sekonder doğrultucu D1/SR1</t>
  </si>
  <si>
    <t xml:space="preserve">Sekonder Serbest Süreç (Freewheeling) Diyot D2 RMS Akımı</t>
  </si>
  <si>
    <t xml:space="preserve">I_D2,rms = I_out · √(1 − D_min)</t>
  </si>
  <si>
    <t xml:space="preserve">$I_{D2,rms} = I_{out} \sqrt{1 - D_{min}}$</t>
  </si>
  <si>
    <t xml:space="preserve">Kesim fazında bobin akımını devreden çıkaran D2/SR2</t>
  </si>
  <si>
    <t xml:space="preserve">Sekonder Diyotlar Maks. Ters Gerilim Stresi (V_R,max)</t>
  </si>
  <si>
    <t xml:space="preserve">V_R,max = V_in,max / [ n · (1 − D_min) ]</t>
  </si>
  <si>
    <t xml:space="preserve">$V_{R,max} = \frac{V_{in,max}}{n(1 - D_{min})}$</t>
  </si>
  <si>
    <t xml:space="preserve">Aktif clamp gerilimi sekondere de yansıdığı için diyot ters gerilimi yükselir</t>
  </si>
  <si>
    <t xml:space="preserve">I_Cout,rms = ΔI_Lout / √12</t>
  </si>
  <si>
    <t xml:space="preserve">$I_{C_{out},rms} = \frac{\Delta I_{L_{out}}}{\sqrt{12}}$</t>
  </si>
  <si>
    <t xml:space="preserve">Çıkışta bobin olduğu için çıkış kapasitör akım stresi çok düşüktür</t>
  </si>
  <si>
    <t xml:space="preserve">C_out,min = ΔI_Lout / (8 · f_sw · ΔV_out)</t>
  </si>
  <si>
    <t xml:space="preserve">$C_{out,min} = \frac{\Delta I_{L_{out}}}{8 \cdot f_{sw} \cdot \Delta V_{out}}$</t>
  </si>
  <si>
    <t xml:space="preserve">Minimum çıkış kapasitansı</t>
  </si>
  <si>
    <t xml:space="preserve">ESR_max = ΔV_out / ΔI_Lout</t>
  </si>
  <si>
    <t xml:space="preserve">$ESR_{max} = \frac{\Delta V_{out}}{\Delta I_{L_{out}}}$</t>
  </si>
  <si>
    <t xml:space="preserve">Çıkış kapasitörü ESR üst sınırı</t>
  </si>
  <si>
    <t xml:space="preserve">Optimal Primer Mıknatıslanma Endüktansı (L_m — ΔI_Lm ≈ %20·I_pri)</t>
  </si>
  <si>
    <t xml:space="preserve">ZVS yumuşak anahtarlama sağlamak için ΔI_Lm bilinçli olarak biraz yüksek seçilir</t>
  </si>
  <si>
    <t xml:space="preserve">Gerekli Aktif Clamp Kapasitansı (C_clamp)</t>
  </si>
  <si>
    <t xml:space="preserve">C_clamp &gt; (1 − D)² / [ (π · f_sw)² · L_m ]</t>
  </si>
  <si>
    <t xml:space="preserve">$C_{clamp} &gt; \frac{(1 - D)^2}{(\pi f_{sw})^2 L_m}$</t>
  </si>
  <si>
    <t xml:space="preserve">Clamp rezonans yarı periyodu (1−D)·T_sw süresinden uzun olmalıdır</t>
  </si>
  <si>
    <t xml:space="preserve">Yardımcı (Clamp) MOSFET RMS Akımı (I_SW,aux,rms)</t>
  </si>
  <si>
    <t xml:space="preserve">I_SW,aux,rms = (ΔI_Lm / 2) · √[ (1 − D_max) / 3 ]</t>
  </si>
  <si>
    <t xml:space="preserve">$I_{SW,aux,rms} = \frac{\Delta I_{Lm}}{2} \sqrt{\frac{1 - D_{max}}{3}}$</t>
  </si>
  <si>
    <t xml:space="preserve">Yardımcı clamp MOSFET'i sadece mıknatıslanma akımını taşıdığı için küçük seçilebilir</t>
  </si>
  <si>
    <t xml:space="preserve">Çıkış LC Filtre Köşe Frekansı (f_LC)</t>
  </si>
  <si>
    <t xml:space="preserve">f_LC = 1 / [ 2π · √(L_out · C_out) ]</t>
  </si>
  <si>
    <t xml:space="preserve">$f_{LC} = \frac{1}{2\pi \sqrt{L_{out} \cdot C_{out}}}$</t>
  </si>
  <si>
    <t xml:space="preserve">RHPZ yoktur; kontrol döngüsü Buck gibi kolayca kompanze edilir</t>
  </si>
  <si>
    <t xml:space="preserve">Trafo Nüve Alan-Çarpımı (Ap_transformer — Çift Yönlü ΔB = 2·B_max)</t>
  </si>
  <si>
    <t xml:space="preserve">A_p,trafo = P_out / (K_u · 2·B_max · J_max · f_sw)</t>
  </si>
  <si>
    <t xml:space="preserve">$A_{p,trafo} = \frac{P_{out}}{K_u \cdot (2 B_{max}) \cdot J_{max} \cdot f_{sw}}$</t>
  </si>
  <si>
    <t xml:space="preserve">Aktif clamp B-H eğrisini 1. ve 3. bölgede (+B_max ↔ −B_max) simetrik sürer!</t>
  </si>
  <si>
    <t xml:space="preserve">Çıkış Bobini Nüve Alan-Çarpımı (Ap_inductor)</t>
  </si>
  <si>
    <t xml:space="preserve">A_p,Lout = (L_out · I_L,peak · I_out) / (K_u · B_max · J_max)</t>
  </si>
  <si>
    <t xml:space="preserve">$A_{p,L_{out}} = \frac{L_{out} I_{L,peak} I_{out}}{K_u B_{max} J_{max}}$</t>
  </si>
  <si>
    <t xml:space="preserve">Sekonder çıkış filtre bobini nüve büyüklüğü</t>
  </si>
  <si>
    <t xml:space="preserve">Ana MOSFET İletim Kaybı (P_cond,main — ZVS ile P_sw ≈ 0)</t>
  </si>
  <si>
    <t xml:space="preserve">P_cond,main = I_SW,rms² · R_DS(on)  (ZVS ile açılma kaybı ~0)</t>
  </si>
  <si>
    <t xml:space="preserve">$P_{cond,main} = I_{SW,rms}^2 \cdot R_{DS(on)}$</t>
  </si>
  <si>
    <t xml:space="preserve">ZVS yumuşak anahtarlama sayesinde açılma (turn-on) kaybı neredeyse sıfırdır</t>
  </si>
  <si>
    <t xml:space="preserve">Sekonder Doğrultucular Toplam Kaybı (P_rect,tot)</t>
  </si>
  <si>
    <t xml:space="preserve">P_rect = (I_D1,avg + I_D2,avg) · V_f = I_out · V_f</t>
  </si>
  <si>
    <t xml:space="preserve">$P_{rect} = I_{out} \cdot V_f$</t>
  </si>
  <si>
    <t xml:space="preserve">Kendinden tahrikli (self-driven) Senkron Doğrultucu (SR) için en uygun topolojidir</t>
  </si>
  <si>
    <t xml:space="preserve">Sekonder Sargı Tel Kesiti (A_wire,sec)</t>
  </si>
  <si>
    <t xml:space="preserve">A_wire,sec = I_out / J_max</t>
  </si>
  <si>
    <t xml:space="preserve">$A_{wire,sec} = \frac{I_{out}}{J_{max}}$</t>
  </si>
  <si>
    <t xml:space="preserve">Sekonder sargı ve çıkış bobini iletken kesiti</t>
  </si>
  <si>
    <t xml:space="preserve">TOPOLOJİ 10: SINGLE-SWITCH FORWARD CONVERTER (TEK ANAHTARLI SIFIRLAMA SARGILI — TI SLYU036A BÖLÜM 12)</t>
  </si>
  <si>
    <t xml:space="preserve">3. Sargı (Reset Winding N_r) ile Trafo Sıfırlama, D &lt; 0.5 Kısıtı ve Çıkış LC Filtre Tasarımı</t>
  </si>
  <si>
    <t xml:space="preserve">Orta güç (50W–250W) izole DC-DC dönüştürücü</t>
  </si>
  <si>
    <t xml:space="preserve">TI SLYU036A Bölüm 12: Tek anahtarlı Forward görev çevrimi</t>
  </si>
  <si>
    <t xml:space="preserve">D_max = n · (V_out + V_f) / V_in,min ≤ 0.45 (N_p = N_r için)</t>
  </si>
  <si>
    <t xml:space="preserve">$D_{max} = \frac{N_p}{N_s} \frac{V_{out} + V_f}{V_{in,min}} &lt; 0.5$</t>
  </si>
  <si>
    <t xml:space="preserve">N_p = N_r eşit sıfırlama sargısı için trafo doymaması adına D_max &lt; 0.50 zorunludur</t>
  </si>
  <si>
    <t xml:space="preserve">Sekonder filtre bobini tepeden tepeye akım dalgalanması</t>
  </si>
  <si>
    <t xml:space="preserve">Sekonder çıkış bobini indüktansı</t>
  </si>
  <si>
    <t xml:space="preserve">MOSFET Maksimum Gerilim Stresi (V_DS,max = 2·V_in,max @ N_p=N_r)</t>
  </si>
  <si>
    <t xml:space="preserve">V_DS,max = V_in,max · (1 + N_p / N_r) = 2 · V_in,max</t>
  </si>
  <si>
    <t xml:space="preserve">$V_{DS,max} = V_{in,max} \left(1 + \frac{N_p}{N_r}\right) = 2 V_{in,max}$</t>
  </si>
  <si>
    <t xml:space="preserve">Sıfırlama sargısı N_r = N_p olduğunda MOSFET üzerinde 2 kat giriş gerilimi oluşur</t>
  </si>
  <si>
    <t xml:space="preserve">I_SW,peak = (I_out + ΔI_L / 2) / n + I_Lm,peak</t>
  </si>
  <si>
    <t xml:space="preserve">$I_{SW,peak} = \frac{I_{out} + \Delta I_L/2}{n} + I_{Lm,peak}$</t>
  </si>
  <si>
    <t xml:space="preserve">Yansıyan sekonder tepe akımı + %10 mıknatıslanma tepe akımı</t>
  </si>
  <si>
    <t xml:space="preserve">I_SW,rms = (I_out / n) · √D_max</t>
  </si>
  <si>
    <t xml:space="preserve">$I_{SW,rms} = \frac{I_{out}}{n} \sqrt{D_{max}}$</t>
  </si>
  <si>
    <t xml:space="preserve">Primer anahtar etkin akımı</t>
  </si>
  <si>
    <t xml:space="preserve">Sekonder İleri Diyot D1 RMS Akımı (I_D1,rms)</t>
  </si>
  <si>
    <t xml:space="preserve">İletim fazı doğrultucu diyot RMS akımı</t>
  </si>
  <si>
    <t xml:space="preserve">Sekonder Serbest Süreç Diyotu D2 RMS Akımı (I_D2,rms)</t>
  </si>
  <si>
    <t xml:space="preserve">Freewheeling diyotu RMS akımı</t>
  </si>
  <si>
    <t xml:space="preserve">Sekonder Diyotlar Ters Gerilim Stresi (V_R,max)</t>
  </si>
  <si>
    <t xml:space="preserve">V_R,max = V_in,max / n</t>
  </si>
  <si>
    <t xml:space="preserve">$V_{R,max} = \frac{V_{in,max}}{n}$</t>
  </si>
  <si>
    <t xml:space="preserve">D1 ve D2 diyotlarının maruz kaldığı maksimum ters gerilim</t>
  </si>
  <si>
    <t xml:space="preserve">Düşük çıkış kapasitör ripple akımı</t>
  </si>
  <si>
    <t xml:space="preserve">Trafo Demanyetizasyon (Sıfırlama) Süresi (t_ad @ N_p=N_r)</t>
  </si>
  <si>
    <t xml:space="preserve">μs</t>
  </si>
  <si>
    <t xml:space="preserve">t_ad = (N_r / N_p) · D_max · T_sw = D_max · T_sw</t>
  </si>
  <si>
    <t xml:space="preserve">$t_{ad} = \frac{N_r}{N_p} D_{max} T_{sw}$</t>
  </si>
  <si>
    <t xml:space="preserve">TI SLYU036A Bölüm 1: t_1 + t_ad &lt; T_sw olmalıdır, aksi halde trafo doyar!</t>
  </si>
  <si>
    <t xml:space="preserve">Sıfırlama Sonrası Ölü Zaman Payı (t_d = T_sw − t_1 − t_ad)</t>
  </si>
  <si>
    <t xml:space="preserve">t_d = (1 − 2·D_max) · T_sw &gt; 0</t>
  </si>
  <si>
    <t xml:space="preserve">$t_d = (1 - 2 D_{max}) T_{sw} &gt; 0$</t>
  </si>
  <si>
    <t xml:space="preserve">Bu değerin pozitif (&gt; 0.5 μs) olması güvenli sıfırlama marjını gösterir</t>
  </si>
  <si>
    <t xml:space="preserve">Primer Mıknatıslanma Endüktansı (L_m — ΔI_Lm = %10·I_pri)</t>
  </si>
  <si>
    <t xml:space="preserve">L_m = (V_in,min · D_max) / (0.10 · (I_out/n) · f_sw)</t>
  </si>
  <si>
    <t xml:space="preserve">$L_m = \frac{V_{in,min} \cdot D_{max}}{0.10 (I_{out}/n) f_{sw}}$</t>
  </si>
  <si>
    <t xml:space="preserve">Forward trafosu enerji depolamaz; L_m yüksek tutulmalıdır (hava aralığı bırakılmaz)</t>
  </si>
  <si>
    <t xml:space="preserve">Sıfırlama Diyotu (D_reset = D3) Ortalama Akımı</t>
  </si>
  <si>
    <t xml:space="preserve">I_D3,avg = 0.5 · I_Lm,peak · D_max</t>
  </si>
  <si>
    <t xml:space="preserve">$I_{D3,avg} = \frac{1}{2} I_{Lm,peak} D_{max}$</t>
  </si>
  <si>
    <t xml:space="preserve">3. sargı sıfırlama diyotu sadece mıknatıslanma enerjisini V_in'e geri döndürür</t>
  </si>
  <si>
    <t xml:space="preserve">Trafo Nüve Alan-Çarpımı (Ap_trafo — Tek Yönlü ΔB = B_max)</t>
  </si>
  <si>
    <t xml:space="preserve">A_p,trafo = P_out / (K_u · B_max · J_max · f_sw)</t>
  </si>
  <si>
    <t xml:space="preserve">$A_{p,trafo} = \frac{P_{out}}{K_u B_{max} J_{max} f_{sw}}$</t>
  </si>
  <si>
    <t xml:space="preserve">Tek yönlü (1. bölge) uyarım ve 3. sargı nedeniyle pencere faktörü K_u = 0.28</t>
  </si>
  <si>
    <t xml:space="preserve">P_SW = I_SW,rms²·R_DS(on) + 0.5·(2·V_in)·(I_out/n)·t_sw·f_sw</t>
  </si>
  <si>
    <t xml:space="preserve">$P_{SW} = I_{SW,rms}^2 R_{DS(on)} + V_{in} \frac{I_{out}}{n} t_{sw} f_{sw}$</t>
  </si>
  <si>
    <t xml:space="preserve">Primer MOSFET iletim ve anahtarlama kaybı</t>
  </si>
  <si>
    <t xml:space="preserve">Sekonder Diyotlar (D1 + D2) Toplam Kaybı</t>
  </si>
  <si>
    <t xml:space="preserve">P_rect = I_out · V_f</t>
  </si>
  <si>
    <t xml:space="preserve">Sekonder doğrultucu diyotlar toplam kaybı</t>
  </si>
  <si>
    <t xml:space="preserve">Sekonder sargı bakır kesiti</t>
  </si>
  <si>
    <t xml:space="preserve">TOPOLOJİ 11: TWO-SWITCH FORWARD CONVERTER (ÇİFT ANAHTARLI FORWARD — TI SLYU036A BÖLÜM 13)</t>
  </si>
  <si>
    <t xml:space="preserve">Sıfırlama Sargısı Gerektirmeyen, MOSFET Stresini Tam V_in,max'a Kenetleyen Güvenilir Endüstriyel Topoloji</t>
  </si>
  <si>
    <t xml:space="preserve">200W–600W PFC arkası endüstriyel ve ATX güç kaynaklarının en güvenilir topolojisi</t>
  </si>
  <si>
    <t xml:space="preserve">TI SLYU036A Bölüm 13 görev çevrimi</t>
  </si>
  <si>
    <t xml:space="preserve">D_max = n · (V_out + V_f) / V_in,min &lt; 0.50</t>
  </si>
  <si>
    <t xml:space="preserve">Primer V_in'e diyotlarla kenetlendiği için sıfırlama süresi t_ad = t_1'dir (D &lt; 0.5 şarttır)</t>
  </si>
  <si>
    <t xml:space="preserve">Çıkış filtre bobini tepeden tepeye akım dalgalanması</t>
  </si>
  <si>
    <t xml:space="preserve">Her Bir MOSFET Maksimum Gerilim Stresi (V_DS,max = V_in,max!)</t>
  </si>
  <si>
    <t xml:space="preserve">V_DS,max = V_in,max</t>
  </si>
  <si>
    <t xml:space="preserve">AVANTAJ: 380V PFC barasında 500V/600V MOSFET güvenle kullanılır, voltaj spike'ı kenetlenir</t>
  </si>
  <si>
    <t xml:space="preserve">Primer anahtarların tepe akımı</t>
  </si>
  <si>
    <t xml:space="preserve">Her bir primer MOSFET'ten geçen etkin akım</t>
  </si>
  <si>
    <t xml:space="preserve">Sekonder ileri diyot RMS akımı</t>
  </si>
  <si>
    <t xml:space="preserve">Sekonder serbest süreç diyotu RMS akımı</t>
  </si>
  <si>
    <t xml:space="preserve">Sekonder diyotlar maksimum ters gerilim stresi</t>
  </si>
  <si>
    <t xml:space="preserve">Maksimum çıkış kapasitörü ESR değeri</t>
  </si>
  <si>
    <t xml:space="preserve">Demanyetizasyon Süresi (t_ad = t_1) ve Ölü Zaman (t_d)</t>
  </si>
  <si>
    <t xml:space="preserve">$t_d = (1 - 2 D_{max}) T_{sw}$</t>
  </si>
  <si>
    <t xml:space="preserve">TI SLYU036A Bölüm 13: Demanyetizasyon sonrası bir sonraki periyoda kadar kalan güvenli süre</t>
  </si>
  <si>
    <t xml:space="preserve">Primer Mıknatıslanma Endüktansı (L_m)</t>
  </si>
  <si>
    <t xml:space="preserve">Hava aralıksız yüksek geçirgenlikli ferrit nüve mıknatıslanma endüktansı</t>
  </si>
  <si>
    <t xml:space="preserve">Primer Sıfırlama Diyotları (D3, D4) RMS Akımı</t>
  </si>
  <si>
    <t xml:space="preserve">I_D,reset,rms = I_Lm,peak · √(D_max / 3)</t>
  </si>
  <si>
    <t xml:space="preserve">$I_{D_{reset},rms} = I_{Lm,peak} \sqrt{\frac{D_{max}}{3}}$</t>
  </si>
  <si>
    <t xml:space="preserve">Hem L_m hem de L_lk enerjisini V_in barasına kayıpsız geri kazandırır</t>
  </si>
  <si>
    <t xml:space="preserve">Trafo Nüve Alan-Çarpımı (Ap_trafo)</t>
  </si>
  <si>
    <t xml:space="preserve">3. sıfırlama sargısı olmadığı için trafo penceresi 1-Sw Forward'dan daha verimli kullanılır</t>
  </si>
  <si>
    <t xml:space="preserve">Çıkış filtre bobini nüve çarpımı</t>
  </si>
  <si>
    <t xml:space="preserve">Çıkış LC filtresi rezonans frekansı</t>
  </si>
  <si>
    <t xml:space="preserve">2× MOSFET Toplam İletim ve Anahtarlama Kaybı</t>
  </si>
  <si>
    <t xml:space="preserve">P_SW,tot = 2 · I_SW,rms² · R_DS(on) + V_in · (I_out/n) · t_sw · f_sw</t>
  </si>
  <si>
    <t xml:space="preserve">$P_{SW,tot} = 2 I_{SW,rms}^2 R_{DS(on)} + V_{in} \frac{I_{out}}{n} t_{sw} f_{sw}$</t>
  </si>
  <si>
    <t xml:space="preserve">Üst ve alt primer MOSFET'lerin toplam kaybı</t>
  </si>
  <si>
    <t xml:space="preserve">Sekonder doğrultucu diyotların toplam iletim kaybı</t>
  </si>
  <si>
    <t xml:space="preserve">Sekonder sargı bakır tel kesiti</t>
  </si>
  <si>
    <t xml:space="preserve">TOPOLOJİ 12: PUSH-PULL CONVERTER (İT-ÇEK ORTA UÇLU TRAFOLU — TI SLYU036A BÖLÜM 14)</t>
  </si>
  <si>
    <t xml:space="preserve">Çift Yönlü B-H Nüve Uyarımı, İki Kat Etkin Ripple Frekansı (2·f_sw) ve Low-Side Çift Anahtarlı Yapı</t>
  </si>
  <si>
    <t xml:space="preserve">12V/24V/48V akü veya DC baradan yüksek güçlü izole besleme standardı</t>
  </si>
  <si>
    <t xml:space="preserve">Tek Anahtar Nominal Görev Çevrimi (D_nom — Sınır &lt; 0.50)</t>
  </si>
  <si>
    <t xml:space="preserve">D_nom = n · (V_out + V_f) / (2 · V_in,nom)   (2D &lt; 1.0)</t>
  </si>
  <si>
    <t xml:space="preserve">$D_{nom} = \frac{N_p}{N_s} \frac{V_{out} + V_f}{2 V_{in,nom}} &lt; 0.5$</t>
  </si>
  <si>
    <t xml:space="preserve">TI SLYU036A Bölüm 14: İki anahtar faz farkıyla çalıştığı için etkin duty 2·D olur</t>
  </si>
  <si>
    <t xml:space="preserve">Tek Anahtar Maksimum Görev Çevrimi (D_max @ V_in,min)</t>
  </si>
  <si>
    <t xml:space="preserve">D_max = n · (V_out + V_f) / (2 · V_in,min) ≤ 0.45</t>
  </si>
  <si>
    <t xml:space="preserve">$D_{max} = \frac{N_p}{N_s} \frac{V_{out} + V_f}{2 V_{in,min}} \le 0.45$</t>
  </si>
  <si>
    <t xml:space="preserve">Çapraz iletim (shoot-through) olmaması için D_max ≤ 0.45 bırakılmalıdır</t>
  </si>
  <si>
    <t xml:space="preserve">Tek Anahtar Minimum Görev Çevrimi (D_min @ V_in,max)</t>
  </si>
  <si>
    <t xml:space="preserve">D_min = n · (V_out + V_f) / (2 · V_in,max)</t>
  </si>
  <si>
    <t xml:space="preserve">$D_{min} = \frac{N_p}{N_s} \frac{V_{out} + V_f}{2 V_{in,max}}$</t>
  </si>
  <si>
    <t xml:space="preserve">Maksimum giriş gerilimindeki tek kol duty cycle</t>
  </si>
  <si>
    <t xml:space="preserve">Çıkış İndüktörü Akım Dalgalanması (ΔI_Lout @ 2·f_sw)</t>
  </si>
  <si>
    <t xml:space="preserve">Çıkış bobini her periyotta 2 kez (2·f_sw) enerji alır</t>
  </si>
  <si>
    <t xml:space="preserve">L_out = (V_in,max / n − V_out − V_f) · D_min / (ΔI_L · f_sw)</t>
  </si>
  <si>
    <t xml:space="preserve">2·f_sw ripple frekansı sayesinde tek anahtarlı Forward'ın yarısı kadar bobin yeterlidir</t>
  </si>
  <si>
    <t xml:space="preserve">MOSFET Maksimum Gerilim Stresi (V_DS,max = 2·V_in,max + Spike)</t>
  </si>
  <si>
    <t xml:space="preserve">V_DS,max = 2 · V_in,max (+ %15 L_lk Spike)</t>
  </si>
  <si>
    <t xml:space="preserve">$V_{DS,max} = 2 V_{in,max} + V_{spike}$</t>
  </si>
  <si>
    <t xml:space="preserve">Orta uçlu primer trafo etkisiyle kesimdeki MOSFET 2·V_in,max gerilim görür</t>
  </si>
  <si>
    <t xml:space="preserve">I_SW,peak = (I_out + ΔI_L / 2) / n</t>
  </si>
  <si>
    <t xml:space="preserve">$I_{SW,peak} = \frac{I_{out} + \Delta I_L/2}{n}$</t>
  </si>
  <si>
    <t xml:space="preserve">Her bir primer kol sadece yarı periyotta (D_max) akım taşır</t>
  </si>
  <si>
    <t xml:space="preserve">Sekonder Orta Uçlu Doğrultucu Diyot RMS Akımı (I_D1,rms)</t>
  </si>
  <si>
    <t xml:space="preserve">I_D,rms ≈ I_out · √0.5 = 0.707 · I_out</t>
  </si>
  <si>
    <t xml:space="preserve">$I_{D,rms} \approx \frac{I_{out}}{\sqrt{2}}$</t>
  </si>
  <si>
    <t xml:space="preserve">Ölü zamanda (t_3) bobin akımı iki sekonder diyot arasında eşit (I_out/2) paylaşılır</t>
  </si>
  <si>
    <t xml:space="preserve">V_R,max = 2 · V_in,max / n</t>
  </si>
  <si>
    <t xml:space="preserve">$V_{R,max} = \frac{2 V_{in,max}}{n}$</t>
  </si>
  <si>
    <t xml:space="preserve">Orta uçlu (Center-Tapped) sekonderde diyot ters gerilimi 2·V_in/n olur</t>
  </si>
  <si>
    <t xml:space="preserve">Gerekli Minimum Çıkış Kapasitansı (C_out,min @ 2·f_sw)</t>
  </si>
  <si>
    <t xml:space="preserve">C_out,min = ΔI_Lout / [ 8 · (2·f_sw) · ΔV_out ]</t>
  </si>
  <si>
    <t xml:space="preserve">$C_{out,min} = \frac{\Delta I_{L_{out}}}{16 \cdot f_{sw} \cdot \Delta V_{out}}$</t>
  </si>
  <si>
    <t xml:space="preserve">Etkin ripple frekansı 2·f_sw olduğu için kapasitans ihtiyacı yarıya düşer!</t>
  </si>
  <si>
    <t xml:space="preserve">I_Cin,rms = (I_out / n) · √[ 2D · (1 − 2D) ]</t>
  </si>
  <si>
    <t xml:space="preserve">$I_{C_{in},rms} = \frac{I_{out}}{n} \sqrt{2D(1 - 2D)}$</t>
  </si>
  <si>
    <t xml:space="preserve">2D → 1.0 yaklaştıkça giriş akımı neredeyse tam DC haline gelir</t>
  </si>
  <si>
    <t xml:space="preserve">Trafo Nüve Alan-Çarpımı (Ap_trafo — Çift Yönlü ΔB = 2·B_max)</t>
  </si>
  <si>
    <t xml:space="preserve">$A_{p,trafo} = \frac{P_{out}}{2 K_u B_{max} J_{max} f_{sw}}$</t>
  </si>
  <si>
    <t xml:space="preserve">Çift yönlü B-H kullanımı (1. ve 3. bölge) nüve boyutunu yarıya indirir</t>
  </si>
  <si>
    <t xml:space="preserve">Minimum Güvenli Ölü Zaman (Dead-Time t_dead)</t>
  </si>
  <si>
    <t xml:space="preserve">t_dead = (0.5 − D_max) · T_sw</t>
  </si>
  <si>
    <t xml:space="preserve">$t_{dead} = (0.5 - D_{max}) T_{sw}$</t>
  </si>
  <si>
    <t xml:space="preserve">İki faz arasında mutlaka bırakılması gereken minimum boşluk süresi</t>
  </si>
  <si>
    <t xml:space="preserve">Kontrol döngüsü çift kutup frekansı</t>
  </si>
  <si>
    <t xml:space="preserve">Merdiven Tipi Akım Dengesizliği Koruması (Peak Current Mode)</t>
  </si>
  <si>
    <t xml:space="preserve">I_limit = 1.20 · I_SW,peak  (Simetri / Flux-Walking Koruması)</t>
  </si>
  <si>
    <t xml:space="preserve">$I_{limit} = 1.20 \cdot I_{SW,peak}$</t>
  </si>
  <si>
    <t xml:space="preserve">KRİTİK: Push-Pull'da trafo merdiven doyumu (flux walking) olmaması için Peak Current Mode şarttır!</t>
  </si>
  <si>
    <t xml:space="preserve">Sekonder çıkış bobini nüve büyüklüğü</t>
  </si>
  <si>
    <t xml:space="preserve">$P_{cond,2SW} = 2 I_{SW,rms}^2 R_{DS(on)}$</t>
  </si>
  <si>
    <t xml:space="preserve">İki primer anahtarın toplam omik iletim kaybı</t>
  </si>
  <si>
    <t xml:space="preserve">P_sw,2SW = 2 · 0.5 · (2·V_in) · (I_out/n) · t_sw · f_sw</t>
  </si>
  <si>
    <t xml:space="preserve">$P_{sw,2SW} = 2 V_{in} \frac{I_{out}}{n} t_{sw} f_{sw}$</t>
  </si>
  <si>
    <t xml:space="preserve">Anahtarlama geçiş kaybı</t>
  </si>
  <si>
    <t xml:space="preserve">Sekonder Doğrultucu Diyotlar Toplam Kaybı</t>
  </si>
  <si>
    <t xml:space="preserve">Orta uçlu sekonderde her anda toplam I_out akımı diyotlardan geçer</t>
  </si>
  <si>
    <t xml:space="preserve">Primer Yarım-Sargı Tel Kesiti (A_wire,pri)</t>
  </si>
  <si>
    <t xml:space="preserve">Orta uçlu primerin her bir kolu için gereken bakır kesiti</t>
  </si>
  <si>
    <t xml:space="preserve">TOPOLOJİ 13: WEINBERG CONVERTER (AKIM BESLEMELİ İT-ÇEK / UZAY &amp; UYDU — TI SLYU036A BÖLÜM 15)</t>
  </si>
  <si>
    <t xml:space="preserve">Kuplajlı Giriş Bobini (L_1/L_2) + Push-Pull Trafo ile Doğal Kısa Devre Korumalı ve Sürekli Giriş/Çıkış Akımlı Topoloji</t>
  </si>
  <si>
    <t xml:space="preserve">TI SLYU036A Bölüm 15: Uydu güç barası (28V/50V/100V) ve havacılık sistemleri standardı</t>
  </si>
  <si>
    <t xml:space="preserve">Etkin Görev Çevrimi (D_nom — n_p = 1, n_s = n için)</t>
  </si>
  <si>
    <t xml:space="preserve">Oran (0-0.5)</t>
  </si>
  <si>
    <t xml:space="preserve">D = [ 1 − V_in / (n_s · (V_out + V_f)) ] / (2 · (1 − 1/(2·n_p)))</t>
  </si>
  <si>
    <t xml:space="preserve">$\frac{V_{out}}{V_{in}} = \frac{1}{n_s [1 - 2D(1 - \frac{1}{2n_p})]}$</t>
  </si>
  <si>
    <t xml:space="preserve">TI SLYU036A Bölüm 15 Weinberg gerilim transfer denklemi</t>
  </si>
  <si>
    <t xml:space="preserve">D_max @ V_in,min</t>
  </si>
  <si>
    <t xml:space="preserve">$D_{max} = 1 - \frac{V_{in,min}}{n_s (V_{out} + V_f)}$</t>
  </si>
  <si>
    <t xml:space="preserve">Minimum giriş gerilimindeki maksimum duty cycle</t>
  </si>
  <si>
    <t xml:space="preserve">D_min @ V_in,max</t>
  </si>
  <si>
    <t xml:space="preserve">$D_{min} = 1 - \frac{V_{in,max}}{n_s (V_{out} + V_f)}$</t>
  </si>
  <si>
    <t xml:space="preserve">Giriş Besleme Bobini Ortalama Akımı (I_Lin,avg = I_in,max)</t>
  </si>
  <si>
    <t xml:space="preserve">I_Lin,avg = P_out / (V_in,min · η)</t>
  </si>
  <si>
    <t xml:space="preserve">$I_{L_{in},avg} = \frac{P_{out}}{V_{in,min} \cdot \eta}$</t>
  </si>
  <si>
    <t xml:space="preserve">Girişte seri kuplajlı Weinberg bobini yer aldığı için giriş akımı kesintisizdir</t>
  </si>
  <si>
    <t xml:space="preserve">Giriş Bobini Akım Dalgalanması (ΔI_Lin @ 2·f_sw)</t>
  </si>
  <si>
    <t xml:space="preserve">ΔI_Lin = I_Lin,avg · (r_L / 100)</t>
  </si>
  <si>
    <t xml:space="preserve">$\Delta I_{L_{in}} = I_{L_{in},avg} \cdot \frac{r_L}{100}$</t>
  </si>
  <si>
    <t xml:space="preserve">Giriş bobini 2·f_sw frekansında çalışır</t>
  </si>
  <si>
    <t xml:space="preserve">Gerekli Weinberg Giriş Bobini Endüktansı (L_in)</t>
  </si>
  <si>
    <t xml:space="preserve">L_in = (V_in,min · D_max) / (2 · f_sw · ΔI_Lin)</t>
  </si>
  <si>
    <t xml:space="preserve">$L_{in} = \frac{V_{in,min} \cdot D_{max}}{2 f_{sw} \Delta I_{L_{in}}}$</t>
  </si>
  <si>
    <t xml:space="preserve">Kuplajlı Weinberg bobini primer sargı indüktansı</t>
  </si>
  <si>
    <t xml:space="preserve">MOSFET Tepe Akımı (I_SW,peak)</t>
  </si>
  <si>
    <t xml:space="preserve">I_SW,peak = I_Lin,avg + ΔI_Lin / 2</t>
  </si>
  <si>
    <t xml:space="preserve">$I_{SW,peak} = I_{L_{in},avg} + \frac{\Delta I_{L_{in}}}{2}$</t>
  </si>
  <si>
    <t xml:space="preserve">AVANTAJ: İki MOSFET aynı anda iletime girse bile L_in akımı sınırlar (Shoot-through bağışıklığı!)</t>
  </si>
  <si>
    <t xml:space="preserve">Her Bir MOSFET RMS Akımı (I_SW,rms)</t>
  </si>
  <si>
    <t xml:space="preserve">I_SW,rms = I_Lin,avg · √D_max</t>
  </si>
  <si>
    <t xml:space="preserve">$I_{SW,rms} = I_{L_{in},avg} \sqrt{D_{max}}$</t>
  </si>
  <si>
    <t xml:space="preserve">Her bir Push-Pull MOSFET'in etkin akımı</t>
  </si>
  <si>
    <t xml:space="preserve">MOSFET Maksimum Gerilim Stresi (V_DS,max)</t>
  </si>
  <si>
    <t xml:space="preserve">V_DS,max = V_in,max + 2 · n · (V_out + V_f)</t>
  </si>
  <si>
    <t xml:space="preserve">$V_{DS,max} = V_{in,max} + 2 n (V_{out} + V_f)$</t>
  </si>
  <si>
    <t xml:space="preserve">TI SLYU036A Bölüm 15 MOSFET drain-source maksimum gerilimi</t>
  </si>
  <si>
    <t xml:space="preserve">Sekonder Doğrultucu Diyotlar (D1, D2) RMS Akımı</t>
  </si>
  <si>
    <t xml:space="preserve">Trafo sekonder diyotları etkin akımı</t>
  </si>
  <si>
    <t xml:space="preserve">Weinberg Sekonder Clamp Diyotları (D3, D4) RMS Akımı</t>
  </si>
  <si>
    <t xml:space="preserve">I_D3,rms = I_out · √(0.5 − D_min)</t>
  </si>
  <si>
    <t xml:space="preserve">$I_{D3,rms} = I_{out} \sqrt{0.5 - D_{min}}$</t>
  </si>
  <si>
    <t xml:space="preserve">Kuplajlı bobin sekonder sargısından çıkışa enerji aktaran diyotlar</t>
  </si>
  <si>
    <t xml:space="preserve">V_R,max = V_out + V_in,max / n</t>
  </si>
  <si>
    <t xml:space="preserve">Sekonder doğrultucu diyotların ters dayanım gerilimi</t>
  </si>
  <si>
    <t xml:space="preserve">I_Cout,rms = ΔI_out / √12</t>
  </si>
  <si>
    <t xml:space="preserve">$I_{C_{out},rms} = \frac{\Delta I_{out}}{\sqrt{12}}$</t>
  </si>
  <si>
    <t xml:space="preserve">Weinberg'de çıkışa kesintisiz akım aktarıldığı için C_out ripple akımı çok düşüktür</t>
  </si>
  <si>
    <t xml:space="preserve">C_out,min = ΔI_out / (16 · f_sw · ΔV_out)</t>
  </si>
  <si>
    <t xml:space="preserve">$C_{out,min} = \frac{\Delta I_{out}}{16 f_{sw} \Delta V_{out}}$</t>
  </si>
  <si>
    <t xml:space="preserve">2·f_sw etkin frekansta minimum çıkış kapasitansı</t>
  </si>
  <si>
    <t xml:space="preserve">I_Cin,rms = ΔI_Lin / √12</t>
  </si>
  <si>
    <t xml:space="preserve">$I_{C_{in},rms} = \frac{\Delta I_{L_{in}}}{\sqrt{12}}$</t>
  </si>
  <si>
    <t xml:space="preserve">Giriş akımı sürekli olduğundan giriş EMI filtresi çok küçüktür</t>
  </si>
  <si>
    <t xml:space="preserve">Kuplajlı Weinberg Bobini Nüve Alan-Çarpımı (Ap_L)</t>
  </si>
  <si>
    <t xml:space="preserve">A_p,L = (L_in · I_SW,peak · I_Lin,avg) / (K_u · B_max · J_max)</t>
  </si>
  <si>
    <t xml:space="preserve">$A_{p,L} = \frac{L_{in} I_{SW,peak} I_{L_{in},avg}}{K_u B_{max} J_{max}}$</t>
  </si>
  <si>
    <t xml:space="preserve">Kuplajlı enerji aktarım bobini nüve büyüklüğü</t>
  </si>
  <si>
    <t xml:space="preserve">Ana Push-Pull Trafo Nüve Alan-Çarpımı (Ap_trafo)</t>
  </si>
  <si>
    <t xml:space="preserve">A_p,trafo = P_out / (2 · K_u · B_max · J_max · f_sw)</t>
  </si>
  <si>
    <t xml:space="preserve">Simetrik çift yönlü uyarılan ana izolasyon trafosu</t>
  </si>
  <si>
    <t xml:space="preserve">Önerilen Kontrol Döngüsü Bant Genişliği (f_c — RHPZ Yoktur!)</t>
  </si>
  <si>
    <t xml:space="preserve">f_c ≈ f_sw / 6  (Birinci dereceden akım kaynağı davranışı)</t>
  </si>
  <si>
    <t xml:space="preserve">$f_c \approx \frac{f_{sw}}{6}$</t>
  </si>
  <si>
    <t xml:space="preserve">Weinberg RHPZ içermez ve tek kutuplu transfer fonksiyonu ile çok kararlıdır</t>
  </si>
  <si>
    <t xml:space="preserve">ESR_max = ΔV_out / ΔI_out</t>
  </si>
  <si>
    <t xml:space="preserve">$ESR_{max} = \frac{\Delta V_{out}}{\Delta I_{out}}$</t>
  </si>
  <si>
    <t xml:space="preserve">İki primer MOSFET toplam iletim kaybı</t>
  </si>
  <si>
    <t xml:space="preserve">P_sw,2SW = V_DS · I_Lin,avg · t_sw · f_sw</t>
  </si>
  <si>
    <t xml:space="preserve">$P_{sw,2SW} = V_{DS} I_{L_{in},avg} t_{sw} f_{sw}$</t>
  </si>
  <si>
    <t xml:space="preserve">Sekonder Diyotlar (D1..D4) Toplam İletim Kaybı</t>
  </si>
  <si>
    <t xml:space="preserve">Sekonder doğrultucu diyotların toplam kaybı</t>
  </si>
  <si>
    <t xml:space="preserve">Giriş Bobini Bakır Tel Kesiti (A_wire,Lin)</t>
  </si>
  <si>
    <t xml:space="preserve">A_wire,Lin = I_Lin,avg / J_max</t>
  </si>
  <si>
    <t xml:space="preserve">$A_{wire,L_{in}} = \frac{I_{L_{in},avg}}{J_{max}}$</t>
  </si>
  <si>
    <t xml:space="preserve">Weinberg giriş bobini iletken kesiti</t>
  </si>
  <si>
    <t xml:space="preserve">TOPOLOJİ 14: HALF-BRIDGE CONVERTER (YARIM KÖPRÜ İZOLELİ DÖNÜŞTÜRÜCÜ — TI SLYU036A BÖLÜM 16)</t>
  </si>
  <si>
    <t xml:space="preserve">Kapasitif Gerilim Bölücülü (V_in / 2) Primer, Düşük MOSFET Gerilim Stresi (V_in,max) ve 2·f_sw Çıkış Filtresi</t>
  </si>
  <si>
    <t xml:space="preserve">200W–1000W yüksek giriş gerilimli (PFC 380V–400V) güç kaynakları için ideal</t>
  </si>
  <si>
    <t xml:space="preserve">Tek Kol Nominal Görev Çevrimi (D_nom — Sınır &lt; 0.50)</t>
  </si>
  <si>
    <t xml:space="preserve">D_nom = n · (V_out + V_f) / V_in,nom   (Trafo: ±V_in/2 · 2D)</t>
  </si>
  <si>
    <t xml:space="preserve">$D_{nom} = \frac{N_p}{N_s} \frac{V_{out} + V_f}{V_{in,nom}} &lt; 0.5$</t>
  </si>
  <si>
    <t xml:space="preserve">TI SLYU036A Bölüm 16: Primer sargıya V_in/2 uygulanır ancak 2 faz olduğu için 2'ler sadeleşir</t>
  </si>
  <si>
    <t xml:space="preserve">Tek Kol Maksimum Görev Çevrimi (D_max @ V_in,min)</t>
  </si>
  <si>
    <t xml:space="preserve">D_max = n · (V_out + V_f) / V_in,min ≤ 0.45</t>
  </si>
  <si>
    <t xml:space="preserve">$D_{max} = \frac{N_p}{N_s} \frac{V_{out} + V_f}{V_{in,min}} \le 0.45$</t>
  </si>
  <si>
    <t xml:space="preserve">Üst ve alt MOSFET arasında ölü zaman (dead-time) için D_max ≤ 0.45 olmalıdır</t>
  </si>
  <si>
    <t xml:space="preserve">Tek Kol Minimum Görev Çevrimi (D_min @ V_in,max)</t>
  </si>
  <si>
    <t xml:space="preserve">L_out = [ V_in,max / (2·n) − V_out − V_f ] · D_min / (ΔI_L · f_sw)</t>
  </si>
  <si>
    <t xml:space="preserve">$L_{out} = \frac{[V_{in,max}/(2n) - V_{out} - V_f] D_{min}}{\Delta I_L \cdot f_{sw}}$</t>
  </si>
  <si>
    <t xml:space="preserve">TI SLYU036A Bölüm 16 çıkış bobini denklemi</t>
  </si>
  <si>
    <t xml:space="preserve">AVANTAJ: Push-Pull'daki 2·V_in,max stresinin yarısı kadardır!</t>
  </si>
  <si>
    <t xml:space="preserve">Primer sargı V_in/2 gördüğü için aynı güçte primer akımı Full-Bridge'in 2 katıdır</t>
  </si>
  <si>
    <t xml:space="preserve">Üst ve alt yarım köprü anahtarlarının RMS akımı</t>
  </si>
  <si>
    <t xml:space="preserve">Primer Sargı Toplam RMS Akımı (I_pri,rms)</t>
  </si>
  <si>
    <t xml:space="preserve">I_pri,rms = √2 · I_SW,rms = (I_out / n) · √(2 · D_max)</t>
  </si>
  <si>
    <t xml:space="preserve">$I_{pri,rms} = \frac{I_{out}}{n} \sqrt{2 D_{max}}$</t>
  </si>
  <si>
    <t xml:space="preserve">Trafo primer sargısı her iki yarı periyotta da (+ ve −) akım taşır</t>
  </si>
  <si>
    <t xml:space="preserve">Sekonder Orta Uçlu Diyotlar (D1, D2) Ters Gerilim Stresi</t>
  </si>
  <si>
    <t xml:space="preserve">Sekonder doğrultucu diyotların maksimum ters gerilimi</t>
  </si>
  <si>
    <t xml:space="preserve">Giriş Bölücü Kapasitörler (C_b1, C_b2) RMS Akımı</t>
  </si>
  <si>
    <t xml:space="preserve">I_Cb,rms = I_pri,rms / 2</t>
  </si>
  <si>
    <t xml:space="preserve">$I_{C_b,rms} = \frac{I_{pri,rms}}{2}$</t>
  </si>
  <si>
    <t xml:space="preserve">Giriş gerilim bölücü kapasitörlerin her birinden primer AC akımının yarısı geçer</t>
  </si>
  <si>
    <t xml:space="preserve">C_out,min = ΔI_Lout / (16 · f_sw · ΔV_out)</t>
  </si>
  <si>
    <t xml:space="preserve">$C_{out,min} = \frac{\Delta I_{L_{out}}}{16 f_{sw} \Delta V_{out}}$</t>
  </si>
  <si>
    <t xml:space="preserve">2·f_sw çıkış ripple frekansında minimum çıkış kapasitansı</t>
  </si>
  <si>
    <t xml:space="preserve">Orta Nokta Bölücü Kapasitans Değeri (C_b1 = C_b2 @ %2 ΔV)</t>
  </si>
  <si>
    <t xml:space="preserve">C_b1 = C_b2 = (I_pri · D_max) / (f_sw · 0.02 · V_in,min)</t>
  </si>
  <si>
    <t xml:space="preserve">$C_{b1} = C_{b2} = \frac{I_{pri} D_{max}}{f_{sw} \Delta V_{mid}}$</t>
  </si>
  <si>
    <t xml:space="preserve">Kapasitörler doğal olarak trafo DC bias akısını (flux imbalance) engeller!</t>
  </si>
  <si>
    <t xml:space="preserve">Çift yönlü B-H kullanımı ve tek primer sargı sayesinde kompakt trafo</t>
  </si>
  <si>
    <t xml:space="preserve">Kontrol döngüsü LC rezonans frekansı</t>
  </si>
  <si>
    <t xml:space="preserve">Ölü Zaman (Dead-Time) Süresi (t_dead)</t>
  </si>
  <si>
    <t xml:space="preserve">Yarım köprü kolunda shoot-through önleme süresi</t>
  </si>
  <si>
    <t xml:space="preserve">Üst ve alt yarım köprü MOSFET'lerinin toplam iletim kaybı</t>
  </si>
  <si>
    <t xml:space="preserve">P_sw,2SW = V_in · (I_out/n) · t_sw · f_sw</t>
  </si>
  <si>
    <t xml:space="preserve">$P_{sw,2SW} = V_{in} \frac{I_{out}}{n} t_{sw} f_{sw}$</t>
  </si>
  <si>
    <t xml:space="preserve">A_wire,pri = I_pri,rms / J_max</t>
  </si>
  <si>
    <t xml:space="preserve">$A_{wire,pri} = \frac{I_{pri,rms}}{J_{max}}$</t>
  </si>
  <si>
    <t xml:space="preserve">Primer sargı bakır tel kesiti</t>
  </si>
  <si>
    <t xml:space="preserve">TOPOLOJİ 15: FULL-BRIDGE CONVERTER (TAM KÖPRÜ İZOLELİ DÖNÜŞTÜRÜCÜ — TI SLYU036A BÖLÜM 17)</t>
  </si>
  <si>
    <t xml:space="preserve">4 Anahtarlı H-Köprü Primer, Tam V_in Trafo Uyarımı, Yarım Köprüye Göre %50 Düşük Primer Akımı ve Yüksek Güç Kapasitesi</t>
  </si>
  <si>
    <t xml:space="preserve">500W – 5kW arası yüksek güçlü endüstriyel/telekom beslemeleri</t>
  </si>
  <si>
    <t xml:space="preserve">Çapraz Çift Görev Çevrimi (D_nom — Sınır &lt; 0.50)</t>
  </si>
  <si>
    <t xml:space="preserve">D_nom = n · (V_out + V_f) / (2 · V_in,nom)   (Etkin: 2·D)</t>
  </si>
  <si>
    <t xml:space="preserve">TI SLYU036A Bölüm 17: (Q1,Q4) ve (Q2,Q3) çiftleri sırayla D süresince iletimdedir</t>
  </si>
  <si>
    <t xml:space="preserve">Minimum giriş geriliminde tek diyagonal çiftin maksimum iletim oranı</t>
  </si>
  <si>
    <t xml:space="preserve">Çıkış bobini 2·f_sw frekansında çalışır</t>
  </si>
  <si>
    <t xml:space="preserve">Sekonder çıkış filtre bobini indüktansı</t>
  </si>
  <si>
    <t xml:space="preserve">4× MOSFET Maksimum Gerilim Stresi (V_DS,max = V_in,max)</t>
  </si>
  <si>
    <t xml:space="preserve">Tam köprüdeki 4 MOSFET'in her biri maksimum V_in,max gerilimine maruz kalır</t>
  </si>
  <si>
    <t xml:space="preserve">Her Bir MOSFET Tepe Akımı (I_SW,peak)</t>
  </si>
  <si>
    <t xml:space="preserve">Aynı çıkış gücünde ve sarım oranında Yarım Köprü'nün yarısı kadar primer akımı akar!</t>
  </si>
  <si>
    <t xml:space="preserve">Her Bir MOSFET RMS Akımı (I_SW,rms — 4 Adet)</t>
  </si>
  <si>
    <t xml:space="preserve">4 anahtarın her birinden geçen etkin akım</t>
  </si>
  <si>
    <t xml:space="preserve">Trafo Primer Sargı RMS Akımı (I_pri,rms)</t>
  </si>
  <si>
    <t xml:space="preserve">I_pri,rms = (I_out / n) · √(2 · D_max)</t>
  </si>
  <si>
    <t xml:space="preserve">Trafo primer sargısı etkin akımı</t>
  </si>
  <si>
    <t xml:space="preserve">Sekonder Orta Uçlu Diyotlar Ters Gerilim Stresi (V_R,max)</t>
  </si>
  <si>
    <t xml:space="preserve">V_R,max = 2 · V_in,max / n  (Tam köprü sekonderde V_in,max / n)</t>
  </si>
  <si>
    <t xml:space="preserve">Orta uçlu sekonder için 2·V_in/n; Köprü doğrultucu sekonder için V_in/n</t>
  </si>
  <si>
    <t xml:space="preserve">Giriş DC bara kapasitörü etkin ripple akımı</t>
  </si>
  <si>
    <t xml:space="preserve">Primer DC Engelleme (Blocking) Kapasitansı (C_block)</t>
  </si>
  <si>
    <t xml:space="preserve">C_block = (I_pri · D_max) / (f_sw · 0.015 · V_in,min)</t>
  </si>
  <si>
    <t xml:space="preserve">$C_{block} = \frac{I_{pri} D_{max}}{f_{sw} \cdot 0.015 V_{in,min}}$</t>
  </si>
  <si>
    <t xml:space="preserve">Gerilim modlu kontrolde trafo simetrisizliğini (DC bias) önlemek için primere seri bağlanır</t>
  </si>
  <si>
    <t xml:space="preserve">Tam köprü trafo nüve alan-çarpımı</t>
  </si>
  <si>
    <t xml:space="preserve">Çıkış bobini nüve alan-çarpımı</t>
  </si>
  <si>
    <t xml:space="preserve">Önerilen Kontrol Bant Genişliği (f_c ≈ f_sw / 6)</t>
  </si>
  <si>
    <t xml:space="preserve">f_c = f_sw / 6</t>
  </si>
  <si>
    <t xml:space="preserve">$f_c = \frac{f_{sw}}{6}$</t>
  </si>
  <si>
    <t xml:space="preserve">2·f_sw etkin örnekleme sayesinde yüksek kontrol bant genişliği</t>
  </si>
  <si>
    <t xml:space="preserve">4× MOSFET Toplam İletim Kaybı (P_cond,4SW)</t>
  </si>
  <si>
    <t xml:space="preserve">P_cond,4SW = 4 · I_SW,rms² · R_DS(on)</t>
  </si>
  <si>
    <t xml:space="preserve">$P_{cond,4SW} = 4 I_{SW,rms}^2 R_{DS(on)}$</t>
  </si>
  <si>
    <t xml:space="preserve">4 adet primer MOSFET toplam iletim kaybı</t>
  </si>
  <si>
    <t xml:space="preserve">4× MOSFET Toplam Anahtarlama Kaybı (P_sw,4SW)</t>
  </si>
  <si>
    <t xml:space="preserve">P_sw,4SW = 2 · V_in · (I_out/n) · t_sw · f_sw</t>
  </si>
  <si>
    <t xml:space="preserve">$P_{sw,4SW} = 2 V_{in} \frac{I_{out}}{n} t_{sw} f_{sw}$</t>
  </si>
  <si>
    <t xml:space="preserve">Sert anahtarlama (Hard-Switching) geçiş kaybı (Yüksek frekansta PSFB'ye geçilir)</t>
  </si>
  <si>
    <t xml:space="preserve">Sekonder Doğrultucu Kaybı (P_rect)</t>
  </si>
  <si>
    <t xml:space="preserve">Orta uçlu sekonder doğrultucu kaybı</t>
  </si>
  <si>
    <t xml:space="preserve">TOPOLOJİ 16: PHASE-SHIFTED FULL-BRIDGE (FAZ KAYDIRMALI ZVS TAM KÖPRÜ — TI SLYU036A BÖLÜM 18)</t>
  </si>
  <si>
    <t xml:space="preserve">Sıfır Gerilimde Anahtarlama (ZVS), Rezonans/Kaçak Endüktans (L_r), Görev Çevrimi Kaybı (ΔD_loss) ve Yüksek Güç Tasarımı</t>
  </si>
  <si>
    <t xml:space="preserve">1 kW – 10 kW arası EV Şarj, Sunucu/Telekom ve Hyperloop Güç Elektroniği Standardı (UCC28950)</t>
  </si>
  <si>
    <t xml:space="preserve">Etkin Sekonder Görev Çevrimi (D_eff,nom @ V_in,nom)</t>
  </si>
  <si>
    <t xml:space="preserve">D_eff,nom = n · (V_out + V_f) / V_in,nom   (0 &lt; D_eff &lt; 1)</t>
  </si>
  <si>
    <t xml:space="preserve">$D_{eff,nom} = \frac{N_p}{N_s} \frac{V_{out} + V_f}{V_{in,nom}}$</t>
  </si>
  <si>
    <t xml:space="preserve">TI SLYU036A Bölüm 18: Sekondere güç aktarılan etkin faz örtüşme oranı</t>
  </si>
  <si>
    <t xml:space="preserve">Maksimum Etkin Görev Çevrimi (D_eff,max @ V_in,min)</t>
  </si>
  <si>
    <t xml:space="preserve">D_eff,max = n · (V_out + V_f) / V_in,min</t>
  </si>
  <si>
    <t xml:space="preserve">$D_{eff,max} = \frac{N_p}{N_s} \frac{V_{out} + V_f}{V_{in,min}}$</t>
  </si>
  <si>
    <t xml:space="preserve">Minimum giriş gerilimindeki etkin görev çevrimi</t>
  </si>
  <si>
    <t xml:space="preserve">ZVS Rezonans / Kaçak Endüktans Kaynaklı Duty Kaybı (ΔD_loss ≈ %8)</t>
  </si>
  <si>
    <t xml:space="preserve">ΔD_loss = (4 · L_r · I_out · f_sw) / (n · V_in,min)</t>
  </si>
  <si>
    <t xml:space="preserve">$\Delta D_{loss} = \frac{4 L_r (I_{out}/n) f_{sw}}{V_{in,min}}$</t>
  </si>
  <si>
    <t xml:space="preserve">Primer akımı yön değiştirirken L_r yüzünden kaybedilen görev çevrimi (Duty Cycle Loss)</t>
  </si>
  <si>
    <t xml:space="preserve">Gerekli Primer Faz Kaydırma Oranı (D_phase,max = D_eff,max + ΔD_loss)</t>
  </si>
  <si>
    <t xml:space="preserve">Oran (&lt;0.92)</t>
  </si>
  <si>
    <t xml:space="preserve">D_phase = D_eff,max + ΔD_loss = t_ph / (T_sw / 2)</t>
  </si>
  <si>
    <t xml:space="preserve">$D_{phase} = D_{eff,max} + \Delta D_{loss}$</t>
  </si>
  <si>
    <t xml:space="preserve">Kontrolcünün (UCC28950) üretmesi gereken toplam faz kaydırma komutu</t>
  </si>
  <si>
    <t xml:space="preserve">Gerekli Sekonder Çıkış İndüktansı (L_out)</t>
  </si>
  <si>
    <t xml:space="preserve">L_out = (V_in,max / n − V_out − V_f) · D_eff,min / (2 · f_sw · ΔI_L)</t>
  </si>
  <si>
    <t xml:space="preserve">$L_{out} = \frac{(V_{in,max}/n - V_{out} - V_f) D_{eff,min}}{2 f_{sw} \Delta I_L}$</t>
  </si>
  <si>
    <t xml:space="preserve">Primer MOSFET'ler giriş DC barasına kenetlenir</t>
  </si>
  <si>
    <t xml:space="preserve">Primer Tepe Akımı (I_pri,peak)</t>
  </si>
  <si>
    <t xml:space="preserve">I_pri,peak = (I_out + ΔI_L / 2) / n</t>
  </si>
  <si>
    <t xml:space="preserve">$I_{pri,peak} = \frac{I_{out} + \Delta I_L/2}{n}$</t>
  </si>
  <si>
    <t xml:space="preserve">Trafo primer sargısı ve ZVS bobini tepe akımı</t>
  </si>
  <si>
    <t xml:space="preserve">Her Bir MOSFET RMS Akımı (I_SW,rms — Sirkülasyon Dahil)</t>
  </si>
  <si>
    <t xml:space="preserve">I_SW,rms ≈ (I_out / n) · √0.5  (%50 Kare Dalga İletim)</t>
  </si>
  <si>
    <t xml:space="preserve">$I_{SW,rms} \approx \frac{I_{out}}{n \sqrt{2}}$</t>
  </si>
  <si>
    <t xml:space="preserve">PSFB'de her MOSFET %50 duty ile iletimde kaldığı için freewheeling sirkülasyon akımı da akar</t>
  </si>
  <si>
    <t xml:space="preserve">I_pri,rms ≈ (I_out / n) · √[ D_phase + 0.75·(1 − D_phase) ]</t>
  </si>
  <si>
    <t xml:space="preserve">$I_{pri,rms} \approx \frac{I_{out}}{n} \sqrt{D_{phase} + 0.75(1 - D_{phase})}$</t>
  </si>
  <si>
    <t xml:space="preserve">TI SLYU036A Bölüm 18 primer sargı etkin akımı</t>
  </si>
  <si>
    <t xml:space="preserve">Sekonder Doğrultucu (SR MOSFET) Ters Gerilim Stresi</t>
  </si>
  <si>
    <t xml:space="preserve">V_R,max = 2 · V_in,max / n  (Center-Tap) veya V_in,max / n (Full-Bridge)</t>
  </si>
  <si>
    <t xml:space="preserve">Sekonder doğrultucu gerilim stresi (Ringing snubber ile ~1.3× marj bırakılır)</t>
  </si>
  <si>
    <t xml:space="preserve">Gerekli ZVS Rezonans Endüktansı (L_r = L_lk + L_shim)</t>
  </si>
  <si>
    <t xml:space="preserve">L_r = (V_in,min · ΔD_loss) / [ 4 · (I_out / n) · f_sw ]</t>
  </si>
  <si>
    <t xml:space="preserve">$L_r = \frac{V_{in,min} \cdot \Delta D_{loss}}{4 (I_{out}/n) f_{sw}}$</t>
  </si>
  <si>
    <t xml:space="preserve">1/2·L_r·I_pri² &gt; C_oss,eq·V_in² şartını sağlayarak MOSFET C_oss kapasitansını sıfıra boşaltır</t>
  </si>
  <si>
    <t xml:space="preserve">ZVS Sağlanan Minimum Yük Akımı Sınırı (I_out,ZVS,min @ C_oss=350pF)</t>
  </si>
  <si>
    <t xml:space="preserve">I_out,ZVS,min = n · V_in,max · √( 2 · C_oss,eq / L_r )</t>
  </si>
  <si>
    <t xml:space="preserve">$I_{out,ZVS,min} = n V_{in,max} \sqrt{\frac{2 C_{oss,eq}}{L_r}}$</t>
  </si>
  <si>
    <t xml:space="preserve">Bu yük akımının üzerinde geciken kol (Lagging Leg) tam ZVS yumuşak anahtarlamaya girer!</t>
  </si>
  <si>
    <t xml:space="preserve">Optimal ZVS Geçiş Ölü Zamanı (t_dead,ZVS = π/2 · √(L_r·2C_oss))</t>
  </si>
  <si>
    <t xml:space="preserve">t_dead,opt = (π / 2) · √( L_r · 2·C_oss )</t>
  </si>
  <si>
    <t xml:space="preserve">$t_{dead,opt} = \frac{\pi}{2} \sqrt{2 L_r C_{oss}}$</t>
  </si>
  <si>
    <t xml:space="preserve">MOSFET V_DS gerilimi tam 0V'a düştüğü çeyrek rezonans anında gate sinyali verilmelidir</t>
  </si>
  <si>
    <t xml:space="preserve">Faz Kaydırma Süresi (t_ph @ D_phase,max)</t>
  </si>
  <si>
    <t xml:space="preserve">t_ph = D_phase · (T_sw / 2)</t>
  </si>
  <si>
    <t xml:space="preserve">$t_{ph} = D_{phase} \frac{T_{sw}}{2}$</t>
  </si>
  <si>
    <t xml:space="preserve">TI SLYU036A Bölüm 18: Leading Leg ile Lagging Leg arasındaki faz farkı süresi</t>
  </si>
  <si>
    <t xml:space="preserve">Yüksek güçlü PSFB izolasyon trafosu nüve çarpımı</t>
  </si>
  <si>
    <t xml:space="preserve">4× MOSFET Toplam İletim Kaybı (P_cond,4SW — ZVS ile P_on ≈ 0!)</t>
  </si>
  <si>
    <t xml:space="preserve">P_cond,4SW = 4 · I_SW,rms² · R_DS(on)   (P_turn-on ≈ 0 W)</t>
  </si>
  <si>
    <t xml:space="preserve">ZVS sayesinde 400V'da açılma (turn-on) ve C_oss deşarj kaybı tamamen ortadan kalkar!</t>
  </si>
  <si>
    <t xml:space="preserve">Sekonder Senkron Doğrultucu (SR) Toplam Kaybı</t>
  </si>
  <si>
    <t xml:space="preserve">P_SR = I_out · V_f,SR</t>
  </si>
  <si>
    <t xml:space="preserve">$P_{SR} = I_{out} \cdot V_{f,SR}$</t>
  </si>
  <si>
    <t xml:space="preserve">UCC28950 doğrudan sekonder Senkron Doğrultucu (SR) çıkış sinyallerini üretir</t>
  </si>
  <si>
    <t xml:space="preserve">Etkin Kontrol Döngüsü Sönümleme Direnci (R_damping = 4·n²·L_r·f_sw)</t>
  </si>
  <si>
    <t xml:space="preserve">R_d,eff = 4 · n² · L_r · f_sw</t>
  </si>
  <si>
    <t xml:space="preserve">$R_{d,eff} = 4 n^2 L_r f_{sw}$</t>
  </si>
  <si>
    <t xml:space="preserve">ΔD_loss etkisi küçük sinyal modelinde çıkış LC filtresini doğal olarak sönümler!</t>
  </si>
  <si>
    <t xml:space="preserve">Primer ve Sekonder Sargı Bakır Tel Kesitleri (A_sec)</t>
  </si>
  <si>
    <t xml:space="preserve">Sekonder bakır folyo / Litz sargı kesiti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</si>
</sst>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Segoe UI"/>
      <family val="0"/>
    </font>
    <font>
      <b val="true"/>
      <sz val="10"/>
      <color rgb="FF38BDF8"/>
      <name val="Segoe UI"/>
      <family val="0"/>
    </font>
    <font>
      <b val="true"/>
      <sz val="10"/>
      <color rgb="FFFFFFFF"/>
      <name val="Segoe UI"/>
      <family val="0"/>
    </font>
    <font>
      <b val="true"/>
      <sz val="10"/>
      <color rgb="FF0F172A"/>
      <name val="Segoe UI"/>
      <family val="0"/>
    </font>
    <font>
      <b val="true"/>
      <sz val="9.5"/>
      <color rgb="FF475569"/>
      <name val="Segoe UI"/>
      <family val="0"/>
    </font>
    <font>
      <sz val="9.5"/>
      <color rgb="FF0F172A"/>
      <name val="DejaVu Sans Mono"/>
      <family val="0"/>
    </font>
    <font>
      <sz val="9.5"/>
      <color rgb="FF334155"/>
      <name val="Segoe UI"/>
      <family val="0"/>
    </font>
    <font>
      <b val="true"/>
      <sz val="11"/>
      <color rgb="FF1D4ED8"/>
      <name val="Segoe UI"/>
      <family val="0"/>
    </font>
    <font>
      <sz val="9.5"/>
      <color rgb="FF334155"/>
      <name val="Noto Sans Devanagari"/>
      <family val="2"/>
    </font>
    <font>
      <b val="true"/>
      <sz val="11"/>
      <color rgb="FF15803D"/>
      <name val="Segoe UI"/>
      <family val="0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284C7"/>
        <bgColor rgb="FF008080"/>
      </patternFill>
    </fill>
    <fill>
      <patternFill patternType="solid">
        <fgColor rgb="FFFEF3C7"/>
        <bgColor rgb="FFF1F5F9"/>
      </patternFill>
    </fill>
    <fill>
      <patternFill patternType="solid">
        <fgColor rgb="FFECFEFF"/>
        <bgColor rgb="FFF1F5F9"/>
      </patternFill>
    </fill>
    <fill>
      <patternFill patternType="solid">
        <fgColor rgb="FFD97706"/>
        <bgColor rgb="FFFF9900"/>
      </patternFill>
    </fill>
    <fill>
      <patternFill patternType="solid">
        <fgColor rgb="FFFDE68A"/>
        <bgColor rgb="FFFFCC99"/>
      </patternFill>
    </fill>
    <fill>
      <patternFill patternType="solid">
        <fgColor rgb="FF059669"/>
        <bgColor rgb="FF008080"/>
      </patternFill>
    </fill>
    <fill>
      <patternFill patternType="solid">
        <fgColor rgb="FFF1F5F9"/>
        <bgColor rgb="FFECFEFF"/>
      </patternFill>
    </fill>
    <fill>
      <patternFill patternType="solid">
        <fgColor rgb="FFDCFCE7"/>
        <bgColor rgb="FFECFEFF"/>
      </patternFill>
    </fill>
    <fill>
      <patternFill patternType="solid">
        <fgColor rgb="FF7C3AE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 diagonalUp="false" diagonalDown="false">
      <left style="medium">
        <color rgb="FF0284C7"/>
      </left>
      <right style="medium">
        <color rgb="FF0284C7"/>
      </right>
      <top style="medium">
        <color rgb="FF0284C7"/>
      </top>
      <bottom style="medium">
        <color rgb="FF028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EF3C7"/>
      <rgbColor rgb="FFDCFCE7"/>
      <rgbColor rgb="FF660066"/>
      <rgbColor rgb="FFFF8080"/>
      <rgbColor rgb="FF0284C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EFF"/>
      <rgbColor rgb="FFF1F5F9"/>
      <rgbColor rgb="FFFDE68A"/>
      <rgbColor rgb="FF99CCFF"/>
      <rgbColor rgb="FFFF99CC"/>
      <rgbColor rgb="FFCC99FF"/>
      <rgbColor rgb="FFFFCC99"/>
      <rgbColor rgb="FF1D4ED8"/>
      <rgbColor rgb="FF38BDF8"/>
      <rgbColor rgb="FF99CC00"/>
      <rgbColor rgb="FFFFCC00"/>
      <rgbColor rgb="FFFF9900"/>
      <rgbColor rgb="FFD97706"/>
      <rgbColor rgb="FF475569"/>
      <rgbColor rgb="FF94A3B8"/>
      <rgbColor rgb="FF003366"/>
      <rgbColor rgb="FF339966"/>
      <rgbColor rgb="FF0F172A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28.76"/>
    <col collapsed="false" customWidth="true" hidden="false" outlineLevel="0" max="2" min="2" style="0" width="22.6"/>
    <col collapsed="false" customWidth="true" hidden="false" outlineLevel="0" max="3" min="3" style="0" width="16.43"/>
    <col collapsed="false" customWidth="true" hidden="false" outlineLevel="0" max="4" min="4" style="0" width="36.97"/>
    <col collapsed="false" customWidth="true" hidden="false" outlineLevel="0" max="5" min="5" style="0" width="39.03"/>
    <col collapsed="false" customWidth="true" hidden="false" outlineLevel="0" max="6" min="6" style="0" width="26.7"/>
    <col collapsed="false" customWidth="true" hidden="false" outlineLevel="0" max="7" min="7" style="0" width="24.65"/>
    <col collapsed="false" customWidth="true" hidden="false" outlineLevel="0" max="8" min="8" style="0" width="30.81"/>
    <col collapsed="false" customWidth="true" hidden="false" outlineLevel="0" max="9" min="9" style="0" width="49.3"/>
    <col collapsed="false" customWidth="true" hidden="false" outlineLevel="0" max="10" min="10" style="0" width="34.9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4" hidden="false" customHeight="true" outlineLevel="0" collapsed="false">
      <c r="A4" s="4" t="s">
        <v>12</v>
      </c>
      <c r="B4" s="5" t="s">
        <v>13</v>
      </c>
      <c r="C4" s="5" t="s">
        <v>14</v>
      </c>
      <c r="D4" s="6" t="s">
        <v>15</v>
      </c>
      <c r="E4" s="6" t="s">
        <v>16</v>
      </c>
      <c r="F4" s="6" t="s">
        <v>17</v>
      </c>
      <c r="G4" s="6" t="s">
        <v>17</v>
      </c>
      <c r="H4" s="7" t="s">
        <v>18</v>
      </c>
      <c r="I4" s="7" t="s">
        <v>19</v>
      </c>
      <c r="J4" s="7" t="s">
        <v>20</v>
      </c>
    </row>
    <row r="5" customFormat="false" ht="34" hidden="false" customHeight="true" outlineLevel="0" collapsed="false">
      <c r="A5" s="4" t="s">
        <v>21</v>
      </c>
      <c r="B5" s="5" t="s">
        <v>13</v>
      </c>
      <c r="C5" s="5" t="s">
        <v>22</v>
      </c>
      <c r="D5" s="6" t="s">
        <v>23</v>
      </c>
      <c r="E5" s="6" t="s">
        <v>24</v>
      </c>
      <c r="F5" s="6" t="s">
        <v>25</v>
      </c>
      <c r="G5" s="6" t="s">
        <v>25</v>
      </c>
      <c r="H5" s="7" t="s">
        <v>26</v>
      </c>
      <c r="I5" s="7" t="s">
        <v>27</v>
      </c>
      <c r="J5" s="7" t="s">
        <v>28</v>
      </c>
    </row>
    <row r="6" customFormat="false" ht="34" hidden="false" customHeight="true" outlineLevel="0" collapsed="false">
      <c r="A6" s="4" t="s">
        <v>29</v>
      </c>
      <c r="B6" s="5" t="s">
        <v>30</v>
      </c>
      <c r="C6" s="5" t="s">
        <v>31</v>
      </c>
      <c r="D6" s="6" t="s">
        <v>32</v>
      </c>
      <c r="E6" s="6" t="s">
        <v>33</v>
      </c>
      <c r="F6" s="6" t="s">
        <v>34</v>
      </c>
      <c r="G6" s="6" t="s">
        <v>34</v>
      </c>
      <c r="H6" s="7" t="s">
        <v>35</v>
      </c>
      <c r="I6" s="7" t="s">
        <v>36</v>
      </c>
      <c r="J6" s="7" t="s">
        <v>37</v>
      </c>
    </row>
    <row r="7" customFormat="false" ht="34" hidden="false" customHeight="true" outlineLevel="0" collapsed="false">
      <c r="A7" s="4" t="s">
        <v>38</v>
      </c>
      <c r="B7" s="5" t="s">
        <v>39</v>
      </c>
      <c r="C7" s="5" t="s">
        <v>40</v>
      </c>
      <c r="D7" s="6" t="s">
        <v>41</v>
      </c>
      <c r="E7" s="6" t="s">
        <v>42</v>
      </c>
      <c r="F7" s="6" t="s">
        <v>43</v>
      </c>
      <c r="G7" s="6" t="s">
        <v>44</v>
      </c>
      <c r="H7" s="7" t="s">
        <v>45</v>
      </c>
      <c r="I7" s="7" t="s">
        <v>46</v>
      </c>
      <c r="J7" s="7" t="s">
        <v>47</v>
      </c>
    </row>
    <row r="8" customFormat="false" ht="34" hidden="false" customHeight="true" outlineLevel="0" collapsed="false">
      <c r="A8" s="4" t="s">
        <v>48</v>
      </c>
      <c r="B8" s="5" t="s">
        <v>30</v>
      </c>
      <c r="C8" s="5" t="s">
        <v>40</v>
      </c>
      <c r="D8" s="6" t="s">
        <v>32</v>
      </c>
      <c r="E8" s="6" t="s">
        <v>33</v>
      </c>
      <c r="F8" s="6" t="s">
        <v>49</v>
      </c>
      <c r="G8" s="6" t="s">
        <v>34</v>
      </c>
      <c r="H8" s="7" t="s">
        <v>50</v>
      </c>
      <c r="I8" s="7" t="s">
        <v>51</v>
      </c>
      <c r="J8" s="7" t="s">
        <v>52</v>
      </c>
    </row>
    <row r="9" customFormat="false" ht="34" hidden="false" customHeight="true" outlineLevel="0" collapsed="false">
      <c r="A9" s="4" t="s">
        <v>53</v>
      </c>
      <c r="B9" s="5" t="s">
        <v>54</v>
      </c>
      <c r="C9" s="5" t="s">
        <v>40</v>
      </c>
      <c r="D9" s="6" t="s">
        <v>41</v>
      </c>
      <c r="E9" s="6" t="s">
        <v>42</v>
      </c>
      <c r="F9" s="6" t="s">
        <v>43</v>
      </c>
      <c r="G9" s="6" t="s">
        <v>44</v>
      </c>
      <c r="H9" s="7" t="s">
        <v>55</v>
      </c>
      <c r="I9" s="7" t="s">
        <v>56</v>
      </c>
      <c r="J9" s="7" t="s">
        <v>57</v>
      </c>
    </row>
    <row r="10" customFormat="false" ht="34" hidden="false" customHeight="true" outlineLevel="0" collapsed="false">
      <c r="A10" s="4" t="s">
        <v>58</v>
      </c>
      <c r="B10" s="5" t="s">
        <v>59</v>
      </c>
      <c r="C10" s="5" t="s">
        <v>31</v>
      </c>
      <c r="D10" s="6" t="s">
        <v>60</v>
      </c>
      <c r="E10" s="6" t="s">
        <v>61</v>
      </c>
      <c r="F10" s="6" t="s">
        <v>62</v>
      </c>
      <c r="G10" s="6" t="s">
        <v>63</v>
      </c>
      <c r="H10" s="7" t="s">
        <v>64</v>
      </c>
      <c r="I10" s="7" t="s">
        <v>65</v>
      </c>
      <c r="J10" s="7" t="s">
        <v>66</v>
      </c>
    </row>
    <row r="11" customFormat="false" ht="34" hidden="false" customHeight="true" outlineLevel="0" collapsed="false">
      <c r="A11" s="4" t="s">
        <v>67</v>
      </c>
      <c r="B11" s="5" t="s">
        <v>68</v>
      </c>
      <c r="C11" s="5" t="s">
        <v>69</v>
      </c>
      <c r="D11" s="6" t="s">
        <v>70</v>
      </c>
      <c r="E11" s="6" t="s">
        <v>61</v>
      </c>
      <c r="F11" s="6" t="s">
        <v>71</v>
      </c>
      <c r="G11" s="6" t="s">
        <v>63</v>
      </c>
      <c r="H11" s="7" t="s">
        <v>72</v>
      </c>
      <c r="I11" s="7" t="s">
        <v>73</v>
      </c>
      <c r="J11" s="7" t="s">
        <v>74</v>
      </c>
    </row>
    <row r="12" customFormat="false" ht="34" hidden="false" customHeight="true" outlineLevel="0" collapsed="false">
      <c r="A12" s="4" t="s">
        <v>75</v>
      </c>
      <c r="B12" s="5" t="s">
        <v>76</v>
      </c>
      <c r="C12" s="5" t="s">
        <v>77</v>
      </c>
      <c r="D12" s="6" t="s">
        <v>78</v>
      </c>
      <c r="E12" s="6" t="s">
        <v>79</v>
      </c>
      <c r="F12" s="6" t="s">
        <v>80</v>
      </c>
      <c r="G12" s="6" t="s">
        <v>81</v>
      </c>
      <c r="H12" s="7" t="s">
        <v>82</v>
      </c>
      <c r="I12" s="7" t="s">
        <v>83</v>
      </c>
      <c r="J12" s="7" t="s">
        <v>84</v>
      </c>
    </row>
    <row r="13" customFormat="false" ht="34" hidden="false" customHeight="true" outlineLevel="0" collapsed="false">
      <c r="A13" s="4" t="s">
        <v>85</v>
      </c>
      <c r="B13" s="5" t="s">
        <v>86</v>
      </c>
      <c r="C13" s="5" t="s">
        <v>69</v>
      </c>
      <c r="D13" s="6" t="s">
        <v>78</v>
      </c>
      <c r="E13" s="6" t="s">
        <v>79</v>
      </c>
      <c r="F13" s="6" t="s">
        <v>87</v>
      </c>
      <c r="G13" s="6" t="s">
        <v>88</v>
      </c>
      <c r="H13" s="7" t="s">
        <v>89</v>
      </c>
      <c r="I13" s="7" t="s">
        <v>90</v>
      </c>
      <c r="J13" s="7" t="s">
        <v>91</v>
      </c>
    </row>
    <row r="14" customFormat="false" ht="34" hidden="false" customHeight="true" outlineLevel="0" collapsed="false">
      <c r="A14" s="4" t="s">
        <v>92</v>
      </c>
      <c r="B14" s="5" t="s">
        <v>93</v>
      </c>
      <c r="C14" s="5" t="s">
        <v>94</v>
      </c>
      <c r="D14" s="6" t="s">
        <v>95</v>
      </c>
      <c r="E14" s="6" t="s">
        <v>79</v>
      </c>
      <c r="F14" s="6" t="s">
        <v>96</v>
      </c>
      <c r="G14" s="6" t="s">
        <v>88</v>
      </c>
      <c r="H14" s="7" t="s">
        <v>89</v>
      </c>
      <c r="I14" s="7" t="s">
        <v>97</v>
      </c>
      <c r="J14" s="7" t="s">
        <v>98</v>
      </c>
    </row>
    <row r="15" customFormat="false" ht="34" hidden="false" customHeight="true" outlineLevel="0" collapsed="false">
      <c r="A15" s="4" t="s">
        <v>99</v>
      </c>
      <c r="B15" s="5" t="s">
        <v>100</v>
      </c>
      <c r="C15" s="5" t="s">
        <v>101</v>
      </c>
      <c r="D15" s="6" t="s">
        <v>102</v>
      </c>
      <c r="E15" s="6" t="s">
        <v>103</v>
      </c>
      <c r="F15" s="6" t="s">
        <v>104</v>
      </c>
      <c r="G15" s="6" t="s">
        <v>105</v>
      </c>
      <c r="H15" s="7" t="s">
        <v>106</v>
      </c>
      <c r="I15" s="7" t="s">
        <v>107</v>
      </c>
      <c r="J15" s="7" t="s">
        <v>108</v>
      </c>
    </row>
    <row r="16" customFormat="false" ht="34" hidden="false" customHeight="true" outlineLevel="0" collapsed="false">
      <c r="A16" s="4" t="s">
        <v>109</v>
      </c>
      <c r="B16" s="5" t="s">
        <v>110</v>
      </c>
      <c r="C16" s="5" t="s">
        <v>111</v>
      </c>
      <c r="D16" s="6" t="s">
        <v>112</v>
      </c>
      <c r="E16" s="6" t="s">
        <v>113</v>
      </c>
      <c r="F16" s="6" t="s">
        <v>114</v>
      </c>
      <c r="G16" s="6" t="s">
        <v>115</v>
      </c>
      <c r="H16" s="7" t="s">
        <v>116</v>
      </c>
      <c r="I16" s="7" t="s">
        <v>117</v>
      </c>
      <c r="J16" s="7" t="s">
        <v>118</v>
      </c>
    </row>
    <row r="17" customFormat="false" ht="34" hidden="false" customHeight="true" outlineLevel="0" collapsed="false">
      <c r="A17" s="4" t="s">
        <v>119</v>
      </c>
      <c r="B17" s="5" t="s">
        <v>120</v>
      </c>
      <c r="C17" s="5" t="s">
        <v>121</v>
      </c>
      <c r="D17" s="6" t="s">
        <v>122</v>
      </c>
      <c r="E17" s="6" t="s">
        <v>79</v>
      </c>
      <c r="F17" s="6" t="s">
        <v>17</v>
      </c>
      <c r="G17" s="6" t="s">
        <v>88</v>
      </c>
      <c r="H17" s="7" t="s">
        <v>123</v>
      </c>
      <c r="I17" s="7" t="s">
        <v>124</v>
      </c>
      <c r="J17" s="7" t="s">
        <v>125</v>
      </c>
    </row>
    <row r="18" customFormat="false" ht="34" hidden="false" customHeight="true" outlineLevel="0" collapsed="false">
      <c r="A18" s="4" t="s">
        <v>126</v>
      </c>
      <c r="B18" s="5" t="s">
        <v>127</v>
      </c>
      <c r="C18" s="5" t="s">
        <v>128</v>
      </c>
      <c r="D18" s="6" t="s">
        <v>102</v>
      </c>
      <c r="E18" s="6" t="s">
        <v>103</v>
      </c>
      <c r="F18" s="6" t="s">
        <v>17</v>
      </c>
      <c r="G18" s="6" t="s">
        <v>105</v>
      </c>
      <c r="H18" s="7" t="s">
        <v>129</v>
      </c>
      <c r="I18" s="7" t="s">
        <v>130</v>
      </c>
      <c r="J18" s="7" t="s">
        <v>131</v>
      </c>
    </row>
    <row r="19" customFormat="false" ht="34" hidden="false" customHeight="true" outlineLevel="0" collapsed="false">
      <c r="A19" s="4" t="s">
        <v>132</v>
      </c>
      <c r="B19" s="5" t="s">
        <v>133</v>
      </c>
      <c r="C19" s="5" t="s">
        <v>134</v>
      </c>
      <c r="D19" s="6" t="s">
        <v>135</v>
      </c>
      <c r="E19" s="6" t="s">
        <v>136</v>
      </c>
      <c r="F19" s="6" t="s">
        <v>17</v>
      </c>
      <c r="G19" s="6" t="s">
        <v>105</v>
      </c>
      <c r="H19" s="7" t="s">
        <v>137</v>
      </c>
      <c r="I19" s="7" t="s">
        <v>138</v>
      </c>
      <c r="J19" s="7" t="s">
        <v>139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140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141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24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18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36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10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250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0.45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94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12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120</v>
      </c>
      <c r="C20" s="5" t="s">
        <v>215</v>
      </c>
      <c r="D20" s="6" t="s">
        <v>216</v>
      </c>
      <c r="E20" s="6" t="s">
        <v>217</v>
      </c>
      <c r="F20" s="7" t="s">
        <v>218</v>
      </c>
    </row>
    <row r="21" customFormat="false" ht="28" hidden="false" customHeight="true" outlineLevel="0" collapsed="false">
      <c r="A21" s="11" t="s">
        <v>219</v>
      </c>
      <c r="B21" s="12" t="n">
        <f aca="false">(B8+B13)/(B5+B13)</f>
        <v>0.50920245398773</v>
      </c>
      <c r="C21" s="5" t="s">
        <v>220</v>
      </c>
      <c r="D21" s="6" t="s">
        <v>221</v>
      </c>
      <c r="E21" s="6" t="s">
        <v>222</v>
      </c>
      <c r="F21" s="7" t="s">
        <v>223</v>
      </c>
    </row>
    <row r="22" customFormat="false" ht="28" hidden="false" customHeight="true" outlineLevel="0" collapsed="false">
      <c r="A22" s="11" t="s">
        <v>224</v>
      </c>
      <c r="B22" s="12" t="n">
        <f aca="false">(B8+B13)/(B6+B13)</f>
        <v>0.67479674796748</v>
      </c>
      <c r="C22" s="5" t="s">
        <v>220</v>
      </c>
      <c r="D22" s="6" t="s">
        <v>225</v>
      </c>
      <c r="E22" s="6" t="s">
        <v>226</v>
      </c>
      <c r="F22" s="7" t="s">
        <v>227</v>
      </c>
    </row>
    <row r="23" customFormat="false" ht="28" hidden="false" customHeight="true" outlineLevel="0" collapsed="false">
      <c r="A23" s="11" t="s">
        <v>228</v>
      </c>
      <c r="B23" s="12" t="n">
        <f aca="false">(B8+B13)/(B7+B13)</f>
        <v>0.34156378600823</v>
      </c>
      <c r="C23" s="5" t="s">
        <v>220</v>
      </c>
      <c r="D23" s="6" t="s">
        <v>229</v>
      </c>
      <c r="E23" s="6" t="s">
        <v>230</v>
      </c>
      <c r="F23" s="7" t="s">
        <v>231</v>
      </c>
    </row>
    <row r="24" customFormat="false" ht="28" hidden="false" customHeight="true" outlineLevel="0" collapsed="false">
      <c r="A24" s="11" t="s">
        <v>232</v>
      </c>
      <c r="B24" s="12" t="n">
        <f aca="false">B9*(B11/100)</f>
        <v>3</v>
      </c>
      <c r="C24" s="5" t="s">
        <v>233</v>
      </c>
      <c r="D24" s="6" t="s">
        <v>234</v>
      </c>
      <c r="E24" s="6" t="s">
        <v>235</v>
      </c>
      <c r="F24" s="7" t="s">
        <v>236</v>
      </c>
    </row>
    <row r="25" customFormat="false" ht="28" hidden="false" customHeight="true" outlineLevel="0" collapsed="false">
      <c r="A25" s="11" t="s">
        <v>237</v>
      </c>
      <c r="B25" s="12" t="n">
        <f aca="false">((B7-B8)*B23)/(B24*B10*1000)*1000000</f>
        <v>10.9300411522634</v>
      </c>
      <c r="C25" s="5" t="s">
        <v>238</v>
      </c>
      <c r="D25" s="6" t="s">
        <v>239</v>
      </c>
      <c r="E25" s="6" t="s">
        <v>240</v>
      </c>
      <c r="F25" s="7" t="s">
        <v>241</v>
      </c>
    </row>
    <row r="26" customFormat="false" ht="28" hidden="false" customHeight="true" outlineLevel="0" collapsed="false">
      <c r="A26" s="11" t="s">
        <v>242</v>
      </c>
      <c r="B26" s="12" t="n">
        <f aca="false">B9+(B24/2)</f>
        <v>11.5</v>
      </c>
      <c r="C26" s="5" t="s">
        <v>167</v>
      </c>
      <c r="D26" s="6" t="s">
        <v>243</v>
      </c>
      <c r="E26" s="6" t="s">
        <v>244</v>
      </c>
      <c r="F26" s="7" t="s">
        <v>245</v>
      </c>
    </row>
    <row r="27" customFormat="false" ht="28" hidden="false" customHeight="true" outlineLevel="0" collapsed="false">
      <c r="A27" s="11" t="s">
        <v>246</v>
      </c>
      <c r="B27" s="12" t="n">
        <f aca="false">SQRT(B9^2 + (B24^2)/12)</f>
        <v>10.0374299499424</v>
      </c>
      <c r="C27" s="5" t="s">
        <v>247</v>
      </c>
      <c r="D27" s="6" t="s">
        <v>248</v>
      </c>
      <c r="E27" s="6" t="s">
        <v>249</v>
      </c>
      <c r="F27" s="7" t="s">
        <v>250</v>
      </c>
    </row>
    <row r="28" customFormat="false" ht="28" hidden="false" customHeight="true" outlineLevel="0" collapsed="false">
      <c r="A28" s="11" t="s">
        <v>251</v>
      </c>
      <c r="B28" s="12" t="n">
        <f aca="false">SQRT(B22*(B9^2 + (B24^2)/12))</f>
        <v>8.24534852857801</v>
      </c>
      <c r="C28" s="5" t="s">
        <v>247</v>
      </c>
      <c r="D28" s="6" t="s">
        <v>252</v>
      </c>
      <c r="E28" s="6" t="s">
        <v>253</v>
      </c>
      <c r="F28" s="7" t="s">
        <v>254</v>
      </c>
    </row>
    <row r="29" customFormat="false" ht="28" hidden="false" customHeight="true" outlineLevel="0" collapsed="false">
      <c r="A29" s="11" t="s">
        <v>255</v>
      </c>
      <c r="B29" s="12" t="n">
        <f aca="false">SQRT((1-B23)*(B9^2 + (B24^2)/12))</f>
        <v>8.14478044883168</v>
      </c>
      <c r="C29" s="5" t="s">
        <v>247</v>
      </c>
      <c r="D29" s="6" t="s">
        <v>256</v>
      </c>
      <c r="E29" s="6" t="s">
        <v>257</v>
      </c>
      <c r="F29" s="7" t="s">
        <v>258</v>
      </c>
    </row>
    <row r="30" customFormat="false" ht="28" hidden="false" customHeight="true" outlineLevel="0" collapsed="false">
      <c r="A30" s="11" t="s">
        <v>259</v>
      </c>
      <c r="B30" s="12" t="n">
        <f aca="false">B7</f>
        <v>36</v>
      </c>
      <c r="C30" s="5" t="s">
        <v>150</v>
      </c>
      <c r="D30" s="6" t="s">
        <v>260</v>
      </c>
      <c r="E30" s="6" t="s">
        <v>261</v>
      </c>
      <c r="F30" s="7" t="s">
        <v>262</v>
      </c>
    </row>
    <row r="31" customFormat="false" ht="28" hidden="false" customHeight="true" outlineLevel="0" collapsed="false">
      <c r="A31" s="11" t="s">
        <v>263</v>
      </c>
      <c r="B31" s="12" t="n">
        <f aca="false">B24/SQRT(12)</f>
        <v>0.866025403784439</v>
      </c>
      <c r="C31" s="5" t="s">
        <v>247</v>
      </c>
      <c r="D31" s="6" t="s">
        <v>264</v>
      </c>
      <c r="E31" s="6" t="s">
        <v>265</v>
      </c>
      <c r="F31" s="7" t="s">
        <v>266</v>
      </c>
    </row>
    <row r="32" customFormat="false" ht="28" hidden="false" customHeight="true" outlineLevel="0" collapsed="false">
      <c r="A32" s="11" t="s">
        <v>267</v>
      </c>
      <c r="B32" s="12" t="n">
        <f aca="false">B9*SQRT(B21*(1-B21) + (1/12)*((B24/B9)^2)*B21)</f>
        <v>5.03720491190811</v>
      </c>
      <c r="C32" s="5" t="s">
        <v>247</v>
      </c>
      <c r="D32" s="6" t="s">
        <v>268</v>
      </c>
      <c r="E32" s="6" t="s">
        <v>269</v>
      </c>
      <c r="F32" s="7" t="s">
        <v>270</v>
      </c>
    </row>
    <row r="33" customFormat="false" ht="28" hidden="false" customHeight="true" outlineLevel="0" collapsed="false">
      <c r="A33" s="11" t="s">
        <v>271</v>
      </c>
      <c r="B33" s="12" t="n">
        <f aca="false">(B24/(8*(B10*1000)*(B8*(B12/100))))*1000000</f>
        <v>12.5</v>
      </c>
      <c r="C33" s="5" t="s">
        <v>272</v>
      </c>
      <c r="D33" s="6" t="s">
        <v>273</v>
      </c>
      <c r="E33" s="6" t="s">
        <v>274</v>
      </c>
      <c r="F33" s="7" t="s">
        <v>275</v>
      </c>
    </row>
    <row r="34" customFormat="false" ht="28" hidden="false" customHeight="true" outlineLevel="0" collapsed="false">
      <c r="A34" s="11" t="s">
        <v>276</v>
      </c>
      <c r="B34" s="12" t="n">
        <f aca="false">((B8*(B12/100))/B24)*1000</f>
        <v>40</v>
      </c>
      <c r="C34" s="5" t="s">
        <v>199</v>
      </c>
      <c r="D34" s="6" t="s">
        <v>277</v>
      </c>
      <c r="E34" s="6" t="s">
        <v>278</v>
      </c>
      <c r="F34" s="7" t="s">
        <v>279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281</v>
      </c>
      <c r="B36" s="12" t="n">
        <f aca="false">((B7-B8)*B23)/(2*B9*B10*1000)*1000000</f>
        <v>1.63950617283951</v>
      </c>
      <c r="C36" s="5" t="s">
        <v>238</v>
      </c>
      <c r="D36" s="6" t="s">
        <v>282</v>
      </c>
      <c r="E36" s="6" t="s">
        <v>283</v>
      </c>
      <c r="F36" s="7" t="s">
        <v>284</v>
      </c>
    </row>
    <row r="37" customFormat="false" ht="28" hidden="false" customHeight="true" outlineLevel="0" collapsed="false">
      <c r="A37" s="11" t="s">
        <v>285</v>
      </c>
      <c r="B37" s="12" t="n">
        <f aca="false">(((B25/1000000)*B26*B27)/(0.35*B17*(B18*1000000)))*100000000</f>
        <v>0.26701788524488</v>
      </c>
      <c r="C37" s="5" t="s">
        <v>286</v>
      </c>
      <c r="D37" s="6" t="s">
        <v>287</v>
      </c>
      <c r="E37" s="6" t="s">
        <v>288</v>
      </c>
      <c r="F37" s="7" t="s">
        <v>289</v>
      </c>
    </row>
    <row r="38" customFormat="false" ht="28" hidden="false" customHeight="true" outlineLevel="0" collapsed="false">
      <c r="A38" s="11" t="s">
        <v>290</v>
      </c>
      <c r="B38" s="12" t="n">
        <f aca="false">1/(2*3.14159265*SQRT((B25/1000000)*(B33/1000000)))/1000</f>
        <v>13.6161468643627</v>
      </c>
      <c r="C38" s="5" t="s">
        <v>172</v>
      </c>
      <c r="D38" s="6" t="s">
        <v>291</v>
      </c>
      <c r="E38" s="6" t="s">
        <v>292</v>
      </c>
      <c r="F38" s="7" t="s">
        <v>293</v>
      </c>
    </row>
    <row r="39" customFormat="false" ht="28" hidden="false" customHeight="true" outlineLevel="0" collapsed="false">
      <c r="A39" s="11" t="s">
        <v>294</v>
      </c>
      <c r="B39" s="12" t="n">
        <f aca="false">B10/8</f>
        <v>31.25</v>
      </c>
      <c r="C39" s="5" t="s">
        <v>172</v>
      </c>
      <c r="D39" s="6" t="s">
        <v>295</v>
      </c>
      <c r="E39" s="6" t="s">
        <v>296</v>
      </c>
      <c r="F39" s="7" t="s">
        <v>297</v>
      </c>
    </row>
    <row r="40" customFormat="false" ht="28" hidden="false" customHeight="true" outlineLevel="0" collapsed="false">
      <c r="A40" s="11" t="s">
        <v>298</v>
      </c>
      <c r="B40" s="12" t="n">
        <f aca="false">(B28^2)*(B16/1000)</f>
        <v>0.815829268292683</v>
      </c>
      <c r="C40" s="5" t="s">
        <v>215</v>
      </c>
      <c r="D40" s="6" t="s">
        <v>299</v>
      </c>
      <c r="E40" s="6" t="s">
        <v>300</v>
      </c>
      <c r="F40" s="7" t="s">
        <v>301</v>
      </c>
    </row>
    <row r="41" customFormat="false" ht="28" hidden="false" customHeight="true" outlineLevel="0" collapsed="false">
      <c r="A41" s="11" t="s">
        <v>302</v>
      </c>
      <c r="B41" s="12" t="n">
        <f aca="false">0.5*B5*B9*(20/1000000000)*(B10*1000)</f>
        <v>0.6</v>
      </c>
      <c r="C41" s="5" t="s">
        <v>215</v>
      </c>
      <c r="D41" s="6" t="s">
        <v>303</v>
      </c>
      <c r="E41" s="6" t="s">
        <v>304</v>
      </c>
      <c r="F41" s="7" t="s">
        <v>305</v>
      </c>
    </row>
    <row r="42" customFormat="false" ht="28" hidden="false" customHeight="true" outlineLevel="0" collapsed="false">
      <c r="A42" s="11" t="s">
        <v>306</v>
      </c>
      <c r="B42" s="12" t="n">
        <f aca="false">(1-B21)*B9*B13</f>
        <v>2.20858895705522</v>
      </c>
      <c r="C42" s="5" t="s">
        <v>215</v>
      </c>
      <c r="D42" s="6" t="s">
        <v>307</v>
      </c>
      <c r="E42" s="6" t="s">
        <v>308</v>
      </c>
      <c r="F42" s="7" t="s">
        <v>309</v>
      </c>
    </row>
    <row r="43" customFormat="false" ht="28" hidden="false" customHeight="true" outlineLevel="0" collapsed="false">
      <c r="A43" s="11" t="s">
        <v>310</v>
      </c>
      <c r="B43" s="12" t="n">
        <f aca="false">B20*(100/B14 - 1)</f>
        <v>7.6595744680851</v>
      </c>
      <c r="C43" s="5" t="s">
        <v>215</v>
      </c>
      <c r="D43" s="6" t="s">
        <v>311</v>
      </c>
      <c r="E43" s="6" t="s">
        <v>312</v>
      </c>
      <c r="F43" s="7" t="s">
        <v>313</v>
      </c>
    </row>
    <row r="44" customFormat="false" ht="28" hidden="false" customHeight="true" outlineLevel="0" collapsed="false">
      <c r="A44" s="11" t="s">
        <v>314</v>
      </c>
      <c r="B44" s="12" t="n">
        <f aca="false">(B40+B41)*15</f>
        <v>21.2374390243902</v>
      </c>
      <c r="C44" s="5" t="s">
        <v>315</v>
      </c>
      <c r="D44" s="6" t="s">
        <v>316</v>
      </c>
      <c r="E44" s="6" t="s">
        <v>317</v>
      </c>
      <c r="F44" s="7" t="s">
        <v>318</v>
      </c>
    </row>
    <row r="45" customFormat="false" ht="28" hidden="false" customHeight="true" outlineLevel="0" collapsed="false">
      <c r="A45" s="11" t="s">
        <v>319</v>
      </c>
      <c r="B45" s="12" t="n">
        <f aca="false">B27/B18</f>
        <v>2.23053998887608</v>
      </c>
      <c r="C45" s="5" t="s">
        <v>320</v>
      </c>
      <c r="D45" s="6" t="s">
        <v>321</v>
      </c>
      <c r="E45" s="6" t="s">
        <v>322</v>
      </c>
      <c r="F45" s="7" t="s">
        <v>323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324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325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12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9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18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24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5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200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93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120</v>
      </c>
      <c r="C20" s="5" t="s">
        <v>215</v>
      </c>
      <c r="D20" s="6" t="s">
        <v>216</v>
      </c>
      <c r="E20" s="6" t="s">
        <v>217</v>
      </c>
      <c r="F20" s="7" t="s">
        <v>326</v>
      </c>
    </row>
    <row r="21" customFormat="false" ht="28" hidden="false" customHeight="true" outlineLevel="0" collapsed="false">
      <c r="A21" s="11" t="s">
        <v>327</v>
      </c>
      <c r="B21" s="12" t="n">
        <f aca="false">1 - (B5*(B14/100))/(B8+B13)</f>
        <v>0.544489795918367</v>
      </c>
      <c r="C21" s="5" t="s">
        <v>220</v>
      </c>
      <c r="D21" s="6" t="s">
        <v>328</v>
      </c>
      <c r="E21" s="6" t="s">
        <v>329</v>
      </c>
      <c r="F21" s="7" t="s">
        <v>330</v>
      </c>
    </row>
    <row r="22" customFormat="false" ht="28" hidden="false" customHeight="true" outlineLevel="0" collapsed="false">
      <c r="A22" s="11" t="s">
        <v>224</v>
      </c>
      <c r="B22" s="12" t="n">
        <f aca="false">1 - (B6*(B14/100))/(B8+B13)</f>
        <v>0.658367346938775</v>
      </c>
      <c r="C22" s="5" t="s">
        <v>220</v>
      </c>
      <c r="D22" s="6" t="s">
        <v>331</v>
      </c>
      <c r="E22" s="6" t="s">
        <v>332</v>
      </c>
      <c r="F22" s="7" t="s">
        <v>333</v>
      </c>
    </row>
    <row r="23" customFormat="false" ht="28" hidden="false" customHeight="true" outlineLevel="0" collapsed="false">
      <c r="A23" s="11" t="s">
        <v>228</v>
      </c>
      <c r="B23" s="12" t="n">
        <f aca="false">1 - (B7*(B14/100))/(B8+B13)</f>
        <v>0.316734693877551</v>
      </c>
      <c r="C23" s="5" t="s">
        <v>220</v>
      </c>
      <c r="D23" s="6" t="s">
        <v>334</v>
      </c>
      <c r="E23" s="6" t="s">
        <v>335</v>
      </c>
      <c r="F23" s="7" t="s">
        <v>336</v>
      </c>
    </row>
    <row r="24" customFormat="false" ht="28" hidden="false" customHeight="true" outlineLevel="0" collapsed="false">
      <c r="A24" s="11" t="s">
        <v>337</v>
      </c>
      <c r="B24" s="12" t="n">
        <f aca="false">B9/(1-B22)</f>
        <v>14.6356033452808</v>
      </c>
      <c r="C24" s="5" t="s">
        <v>167</v>
      </c>
      <c r="D24" s="6" t="s">
        <v>338</v>
      </c>
      <c r="E24" s="6" t="s">
        <v>339</v>
      </c>
      <c r="F24" s="7" t="s">
        <v>340</v>
      </c>
    </row>
    <row r="25" customFormat="false" ht="28" hidden="false" customHeight="true" outlineLevel="0" collapsed="false">
      <c r="A25" s="11" t="s">
        <v>232</v>
      </c>
      <c r="B25" s="12" t="n">
        <f aca="false">B24*(B11/100)</f>
        <v>4.39068100358423</v>
      </c>
      <c r="C25" s="5" t="s">
        <v>233</v>
      </c>
      <c r="D25" s="6" t="s">
        <v>341</v>
      </c>
      <c r="E25" s="6" t="s">
        <v>342</v>
      </c>
      <c r="F25" s="7" t="s">
        <v>343</v>
      </c>
    </row>
    <row r="26" customFormat="false" ht="28" hidden="false" customHeight="true" outlineLevel="0" collapsed="false">
      <c r="A26" s="11" t="s">
        <v>344</v>
      </c>
      <c r="B26" s="12" t="n">
        <f aca="false">(B6*B22)/(B25*B10*1000)*1000000</f>
        <v>6.74759350270721</v>
      </c>
      <c r="C26" s="5" t="s">
        <v>238</v>
      </c>
      <c r="D26" s="6" t="s">
        <v>345</v>
      </c>
      <c r="E26" s="6" t="s">
        <v>346</v>
      </c>
      <c r="F26" s="7" t="s">
        <v>347</v>
      </c>
    </row>
    <row r="27" customFormat="false" ht="28" hidden="false" customHeight="true" outlineLevel="0" collapsed="false">
      <c r="A27" s="11" t="s">
        <v>348</v>
      </c>
      <c r="B27" s="12" t="n">
        <f aca="false">B24+(B25/2)</f>
        <v>16.8309438470729</v>
      </c>
      <c r="C27" s="5" t="s">
        <v>167</v>
      </c>
      <c r="D27" s="6" t="s">
        <v>349</v>
      </c>
      <c r="E27" s="6" t="s">
        <v>350</v>
      </c>
      <c r="F27" s="7" t="s">
        <v>351</v>
      </c>
    </row>
    <row r="28" customFormat="false" ht="28" hidden="false" customHeight="true" outlineLevel="0" collapsed="false">
      <c r="A28" s="11" t="s">
        <v>246</v>
      </c>
      <c r="B28" s="12" t="n">
        <f aca="false">SQRT(B24^2 + (B25^2)/12)</f>
        <v>14.6903843353398</v>
      </c>
      <c r="C28" s="5" t="s">
        <v>247</v>
      </c>
      <c r="D28" s="6" t="s">
        <v>352</v>
      </c>
      <c r="E28" s="6" t="s">
        <v>353</v>
      </c>
      <c r="F28" s="7" t="s">
        <v>354</v>
      </c>
    </row>
    <row r="29" customFormat="false" ht="28" hidden="false" customHeight="true" outlineLevel="0" collapsed="false">
      <c r="A29" s="11" t="s">
        <v>355</v>
      </c>
      <c r="B29" s="12" t="n">
        <f aca="false">SQRT(B22*(B24^2 + (B25^2)/12))</f>
        <v>11.9197541949549</v>
      </c>
      <c r="C29" s="5" t="s">
        <v>247</v>
      </c>
      <c r="D29" s="6" t="s">
        <v>356</v>
      </c>
      <c r="E29" s="6" t="s">
        <v>357</v>
      </c>
      <c r="F29" s="7" t="s">
        <v>358</v>
      </c>
    </row>
    <row r="30" customFormat="false" ht="28" hidden="false" customHeight="true" outlineLevel="0" collapsed="false">
      <c r="A30" s="11" t="s">
        <v>359</v>
      </c>
      <c r="B30" s="12" t="n">
        <f aca="false">SQRT((1-B22)*(B24^2 + (B25^2)/12))</f>
        <v>8.58643417559652</v>
      </c>
      <c r="C30" s="5" t="s">
        <v>247</v>
      </c>
      <c r="D30" s="6" t="s">
        <v>360</v>
      </c>
      <c r="E30" s="6" t="s">
        <v>361</v>
      </c>
      <c r="F30" s="7" t="s">
        <v>362</v>
      </c>
    </row>
    <row r="31" customFormat="false" ht="28" hidden="false" customHeight="true" outlineLevel="0" collapsed="false">
      <c r="A31" s="11" t="s">
        <v>259</v>
      </c>
      <c r="B31" s="12" t="n">
        <f aca="false">B8+B13</f>
        <v>24.5</v>
      </c>
      <c r="C31" s="5" t="s">
        <v>150</v>
      </c>
      <c r="D31" s="6" t="s">
        <v>363</v>
      </c>
      <c r="E31" s="6" t="s">
        <v>364</v>
      </c>
      <c r="F31" s="7" t="s">
        <v>365</v>
      </c>
    </row>
    <row r="32" customFormat="false" ht="28" hidden="false" customHeight="true" outlineLevel="0" collapsed="false">
      <c r="A32" s="11" t="s">
        <v>263</v>
      </c>
      <c r="B32" s="12" t="n">
        <f aca="false">SQRT((B30^2) - (B9^2))</f>
        <v>6.98046215173837</v>
      </c>
      <c r="C32" s="5" t="s">
        <v>247</v>
      </c>
      <c r="D32" s="6" t="s">
        <v>366</v>
      </c>
      <c r="E32" s="6" t="s">
        <v>367</v>
      </c>
      <c r="F32" s="7" t="s">
        <v>368</v>
      </c>
    </row>
    <row r="33" customFormat="false" ht="28" hidden="false" customHeight="true" outlineLevel="0" collapsed="false">
      <c r="A33" s="11" t="s">
        <v>271</v>
      </c>
      <c r="B33" s="12" t="n">
        <f aca="false">((B9*B22)/((B10*1000)*(B8*(B12/100))))*1000000</f>
        <v>68.5799319727891</v>
      </c>
      <c r="C33" s="5" t="s">
        <v>272</v>
      </c>
      <c r="D33" s="6" t="s">
        <v>369</v>
      </c>
      <c r="E33" s="6" t="s">
        <v>370</v>
      </c>
      <c r="F33" s="7" t="s">
        <v>371</v>
      </c>
    </row>
    <row r="34" customFormat="false" ht="28" hidden="false" customHeight="true" outlineLevel="0" collapsed="false">
      <c r="A34" s="11" t="s">
        <v>276</v>
      </c>
      <c r="B34" s="12" t="n">
        <f aca="false">((B8*(B12/100))/B27)*1000</f>
        <v>14.2594498669033</v>
      </c>
      <c r="C34" s="5" t="s">
        <v>199</v>
      </c>
      <c r="D34" s="6" t="s">
        <v>372</v>
      </c>
      <c r="E34" s="6" t="s">
        <v>373</v>
      </c>
      <c r="F34" s="7" t="s">
        <v>374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375</v>
      </c>
      <c r="B36" s="12" t="n">
        <f aca="false">(((1-B22)^2)*(B8/B9))/(2*3.14159265*(B26/1000000))/1000</f>
        <v>13.2139057676512</v>
      </c>
      <c r="C36" s="5" t="s">
        <v>172</v>
      </c>
      <c r="D36" s="6" t="s">
        <v>376</v>
      </c>
      <c r="E36" s="6" t="s">
        <v>377</v>
      </c>
      <c r="F36" s="7" t="s">
        <v>378</v>
      </c>
    </row>
    <row r="37" customFormat="false" ht="28" hidden="false" customHeight="true" outlineLevel="0" collapsed="false">
      <c r="A37" s="11" t="s">
        <v>379</v>
      </c>
      <c r="B37" s="12" t="n">
        <f aca="false">B36/4</f>
        <v>3.30347644191281</v>
      </c>
      <c r="C37" s="5" t="s">
        <v>172</v>
      </c>
      <c r="D37" s="6" t="s">
        <v>380</v>
      </c>
      <c r="E37" s="6" t="s">
        <v>381</v>
      </c>
      <c r="F37" s="7" t="s">
        <v>382</v>
      </c>
    </row>
    <row r="38" customFormat="false" ht="28" hidden="false" customHeight="true" outlineLevel="0" collapsed="false">
      <c r="A38" s="11" t="s">
        <v>383</v>
      </c>
      <c r="B38" s="12" t="n">
        <f aca="false">((B8/B9)*B21*((1-B21)^2))/(2*B10*1000)*1000000</f>
        <v>1.35571128682777</v>
      </c>
      <c r="C38" s="5" t="s">
        <v>238</v>
      </c>
      <c r="D38" s="6" t="s">
        <v>384</v>
      </c>
      <c r="E38" s="6" t="s">
        <v>385</v>
      </c>
      <c r="F38" s="7" t="s">
        <v>386</v>
      </c>
    </row>
    <row r="39" customFormat="false" ht="28" hidden="false" customHeight="true" outlineLevel="0" collapsed="false">
      <c r="A39" s="11" t="s">
        <v>285</v>
      </c>
      <c r="B39" s="12" t="n">
        <f aca="false">(((B26/1000000)*B27*B28)/(0.35*B17*(B18*1000000)))*100000000</f>
        <v>0.353092690934092</v>
      </c>
      <c r="C39" s="5" t="s">
        <v>286</v>
      </c>
      <c r="D39" s="6" t="s">
        <v>387</v>
      </c>
      <c r="E39" s="6" t="s">
        <v>388</v>
      </c>
      <c r="F39" s="7" t="s">
        <v>389</v>
      </c>
    </row>
    <row r="40" customFormat="false" ht="28" hidden="false" customHeight="true" outlineLevel="0" collapsed="false">
      <c r="A40" s="11" t="s">
        <v>267</v>
      </c>
      <c r="B40" s="12" t="n">
        <f aca="false">B25/SQRT(12)</f>
        <v>1.26748042967257</v>
      </c>
      <c r="C40" s="5" t="s">
        <v>247</v>
      </c>
      <c r="D40" s="6" t="s">
        <v>390</v>
      </c>
      <c r="E40" s="6" t="s">
        <v>391</v>
      </c>
      <c r="F40" s="7" t="s">
        <v>392</v>
      </c>
    </row>
    <row r="41" customFormat="false" ht="28" hidden="false" customHeight="true" outlineLevel="0" collapsed="false">
      <c r="A41" s="11" t="s">
        <v>298</v>
      </c>
      <c r="B41" s="12" t="n">
        <f aca="false">(B29^2)*(B16/1000)</f>
        <v>2.13120810102217</v>
      </c>
      <c r="C41" s="5" t="s">
        <v>215</v>
      </c>
      <c r="D41" s="6" t="s">
        <v>299</v>
      </c>
      <c r="E41" s="6" t="s">
        <v>300</v>
      </c>
      <c r="F41" s="7" t="s">
        <v>393</v>
      </c>
    </row>
    <row r="42" customFormat="false" ht="28" hidden="false" customHeight="true" outlineLevel="0" collapsed="false">
      <c r="A42" s="11" t="s">
        <v>394</v>
      </c>
      <c r="B42" s="12" t="n">
        <f aca="false">0.5*B8*B24*(22/1000000000)*(B10*1000)</f>
        <v>0.772759856630824</v>
      </c>
      <c r="C42" s="5" t="s">
        <v>215</v>
      </c>
      <c r="D42" s="6" t="s">
        <v>395</v>
      </c>
      <c r="E42" s="6" t="s">
        <v>396</v>
      </c>
      <c r="F42" s="7" t="s">
        <v>397</v>
      </c>
    </row>
    <row r="43" customFormat="false" ht="28" hidden="false" customHeight="true" outlineLevel="0" collapsed="false">
      <c r="A43" s="11" t="s">
        <v>398</v>
      </c>
      <c r="B43" s="12" t="n">
        <f aca="false">B9*B13</f>
        <v>2.5</v>
      </c>
      <c r="C43" s="5" t="s">
        <v>215</v>
      </c>
      <c r="D43" s="6" t="s">
        <v>399</v>
      </c>
      <c r="E43" s="6" t="s">
        <v>400</v>
      </c>
      <c r="F43" s="7" t="s">
        <v>401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9.03225806451612</v>
      </c>
      <c r="C44" s="5" t="s">
        <v>215</v>
      </c>
      <c r="D44" s="6" t="s">
        <v>311</v>
      </c>
      <c r="E44" s="6" t="s">
        <v>312</v>
      </c>
      <c r="F44" s="7" t="s">
        <v>402</v>
      </c>
    </row>
    <row r="45" customFormat="false" ht="28" hidden="false" customHeight="true" outlineLevel="0" collapsed="false">
      <c r="A45" s="11" t="s">
        <v>403</v>
      </c>
      <c r="B45" s="12" t="n">
        <f aca="false">B28/B18</f>
        <v>3.26452985229773</v>
      </c>
      <c r="C45" s="5" t="s">
        <v>320</v>
      </c>
      <c r="D45" s="6" t="s">
        <v>321</v>
      </c>
      <c r="E45" s="6" t="s">
        <v>322</v>
      </c>
      <c r="F45" s="7" t="s">
        <v>404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405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406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12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8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24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15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3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250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90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18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407</v>
      </c>
      <c r="B20" s="12" t="n">
        <f aca="false">B8*B9</f>
        <v>45</v>
      </c>
      <c r="C20" s="5" t="s">
        <v>215</v>
      </c>
      <c r="D20" s="6" t="s">
        <v>408</v>
      </c>
      <c r="E20" s="6" t="s">
        <v>409</v>
      </c>
      <c r="F20" s="7" t="s">
        <v>410</v>
      </c>
    </row>
    <row r="21" customFormat="false" ht="28" hidden="false" customHeight="true" outlineLevel="0" collapsed="false">
      <c r="A21" s="11" t="s">
        <v>327</v>
      </c>
      <c r="B21" s="12" t="n">
        <f aca="false">(B8+B13)/(B5*(B14/100)+B8+B13)</f>
        <v>0.5893536121673</v>
      </c>
      <c r="C21" s="5" t="s">
        <v>220</v>
      </c>
      <c r="D21" s="6" t="s">
        <v>411</v>
      </c>
      <c r="E21" s="6" t="s">
        <v>412</v>
      </c>
      <c r="F21" s="7" t="s">
        <v>413</v>
      </c>
    </row>
    <row r="22" customFormat="false" ht="28" hidden="false" customHeight="true" outlineLevel="0" collapsed="false">
      <c r="A22" s="11" t="s">
        <v>224</v>
      </c>
      <c r="B22" s="12" t="n">
        <f aca="false">(B8+B13)/(B6*(B14/100)+B8+B13)</f>
        <v>0.682819383259912</v>
      </c>
      <c r="C22" s="5" t="s">
        <v>220</v>
      </c>
      <c r="D22" s="6" t="s">
        <v>414</v>
      </c>
      <c r="E22" s="6" t="s">
        <v>415</v>
      </c>
      <c r="F22" s="7" t="s">
        <v>416</v>
      </c>
    </row>
    <row r="23" customFormat="false" ht="28" hidden="false" customHeight="true" outlineLevel="0" collapsed="false">
      <c r="A23" s="11" t="s">
        <v>228</v>
      </c>
      <c r="B23" s="12" t="n">
        <f aca="false">(B8+B13)/(B7*(B14/100)+B8+B13)</f>
        <v>0.417789757412399</v>
      </c>
      <c r="C23" s="5" t="s">
        <v>220</v>
      </c>
      <c r="D23" s="6" t="s">
        <v>417</v>
      </c>
      <c r="E23" s="6" t="s">
        <v>418</v>
      </c>
      <c r="F23" s="7" t="s">
        <v>419</v>
      </c>
    </row>
    <row r="24" customFormat="false" ht="28" hidden="false" customHeight="true" outlineLevel="0" collapsed="false">
      <c r="A24" s="11" t="s">
        <v>420</v>
      </c>
      <c r="B24" s="12" t="n">
        <f aca="false">B9/(1-B22)</f>
        <v>9.45833333333333</v>
      </c>
      <c r="C24" s="5" t="s">
        <v>167</v>
      </c>
      <c r="D24" s="6" t="s">
        <v>421</v>
      </c>
      <c r="E24" s="6" t="s">
        <v>422</v>
      </c>
      <c r="F24" s="7" t="s">
        <v>423</v>
      </c>
    </row>
    <row r="25" customFormat="false" ht="28" hidden="false" customHeight="true" outlineLevel="0" collapsed="false">
      <c r="A25" s="11" t="s">
        <v>232</v>
      </c>
      <c r="B25" s="12" t="n">
        <f aca="false">B24*(B11/100)</f>
        <v>2.8375</v>
      </c>
      <c r="C25" s="5" t="s">
        <v>233</v>
      </c>
      <c r="D25" s="6" t="s">
        <v>341</v>
      </c>
      <c r="E25" s="6" t="s">
        <v>342</v>
      </c>
      <c r="F25" s="7" t="s">
        <v>424</v>
      </c>
    </row>
    <row r="26" customFormat="false" ht="28" hidden="false" customHeight="true" outlineLevel="0" collapsed="false">
      <c r="A26" s="11" t="s">
        <v>425</v>
      </c>
      <c r="B26" s="12" t="n">
        <f aca="false">(B6*B22)/(B25*B10*1000)*1000000</f>
        <v>7.70051815482544</v>
      </c>
      <c r="C26" s="5" t="s">
        <v>238</v>
      </c>
      <c r="D26" s="6" t="s">
        <v>345</v>
      </c>
      <c r="E26" s="6" t="s">
        <v>346</v>
      </c>
      <c r="F26" s="7" t="s">
        <v>426</v>
      </c>
    </row>
    <row r="27" customFormat="false" ht="28" hidden="false" customHeight="true" outlineLevel="0" collapsed="false">
      <c r="A27" s="11" t="s">
        <v>427</v>
      </c>
      <c r="B27" s="12" t="n">
        <f aca="false">B24+(B25/2)</f>
        <v>10.8770833333333</v>
      </c>
      <c r="C27" s="5" t="s">
        <v>167</v>
      </c>
      <c r="D27" s="6" t="s">
        <v>349</v>
      </c>
      <c r="E27" s="6" t="s">
        <v>350</v>
      </c>
      <c r="F27" s="7" t="s">
        <v>428</v>
      </c>
    </row>
    <row r="28" customFormat="false" ht="28" hidden="false" customHeight="true" outlineLevel="0" collapsed="false">
      <c r="A28" s="11" t="s">
        <v>246</v>
      </c>
      <c r="B28" s="12" t="n">
        <f aca="false">SQRT(B24^2 + (B25^2)/12)</f>
        <v>9.49373582765382</v>
      </c>
      <c r="C28" s="5" t="s">
        <v>247</v>
      </c>
      <c r="D28" s="6" t="s">
        <v>352</v>
      </c>
      <c r="E28" s="6" t="s">
        <v>353</v>
      </c>
      <c r="F28" s="7" t="s">
        <v>429</v>
      </c>
    </row>
    <row r="29" customFormat="false" ht="28" hidden="false" customHeight="true" outlineLevel="0" collapsed="false">
      <c r="A29" s="11" t="s">
        <v>355</v>
      </c>
      <c r="B29" s="12" t="n">
        <f aca="false">SQRT(B22*(B24^2 + (B25^2)/12))</f>
        <v>7.84494789436346</v>
      </c>
      <c r="C29" s="5" t="s">
        <v>247</v>
      </c>
      <c r="D29" s="6" t="s">
        <v>356</v>
      </c>
      <c r="E29" s="6" t="s">
        <v>357</v>
      </c>
      <c r="F29" s="7" t="s">
        <v>430</v>
      </c>
    </row>
    <row r="30" customFormat="false" ht="28" hidden="false" customHeight="true" outlineLevel="0" collapsed="false">
      <c r="A30" s="11" t="s">
        <v>431</v>
      </c>
      <c r="B30" s="12" t="n">
        <f aca="false">SQRT((1-B22)*(B24^2 + (B25^2)/12))</f>
        <v>5.34675719478639</v>
      </c>
      <c r="C30" s="5" t="s">
        <v>247</v>
      </c>
      <c r="D30" s="6" t="s">
        <v>360</v>
      </c>
      <c r="E30" s="6" t="s">
        <v>361</v>
      </c>
      <c r="F30" s="7" t="s">
        <v>432</v>
      </c>
    </row>
    <row r="31" customFormat="false" ht="28" hidden="false" customHeight="true" outlineLevel="0" collapsed="false">
      <c r="A31" s="11" t="s">
        <v>433</v>
      </c>
      <c r="B31" s="12" t="n">
        <f aca="false">B7+B8+B13</f>
        <v>39.5</v>
      </c>
      <c r="C31" s="5" t="s">
        <v>150</v>
      </c>
      <c r="D31" s="6" t="s">
        <v>434</v>
      </c>
      <c r="E31" s="6" t="s">
        <v>435</v>
      </c>
      <c r="F31" s="7" t="s">
        <v>436</v>
      </c>
    </row>
    <row r="32" customFormat="false" ht="28" hidden="false" customHeight="true" outlineLevel="0" collapsed="false">
      <c r="A32" s="11" t="s">
        <v>263</v>
      </c>
      <c r="B32" s="12" t="n">
        <f aca="false">SQRT((B30^2) - (B9^2))</f>
        <v>4.42581207237723</v>
      </c>
      <c r="C32" s="5" t="s">
        <v>247</v>
      </c>
      <c r="D32" s="6" t="s">
        <v>437</v>
      </c>
      <c r="E32" s="6" t="s">
        <v>438</v>
      </c>
      <c r="F32" s="7" t="s">
        <v>439</v>
      </c>
    </row>
    <row r="33" customFormat="false" ht="28" hidden="false" customHeight="true" outlineLevel="0" collapsed="false">
      <c r="A33" s="11" t="s">
        <v>271</v>
      </c>
      <c r="B33" s="12" t="n">
        <f aca="false">((B9*B22)/((B10*1000)*(B8*(B12/100))))*1000000</f>
        <v>54.6255506607929</v>
      </c>
      <c r="C33" s="5" t="s">
        <v>272</v>
      </c>
      <c r="D33" s="6" t="s">
        <v>369</v>
      </c>
      <c r="E33" s="6" t="s">
        <v>370</v>
      </c>
      <c r="F33" s="7" t="s">
        <v>440</v>
      </c>
    </row>
    <row r="34" customFormat="false" ht="28" hidden="false" customHeight="true" outlineLevel="0" collapsed="false">
      <c r="A34" s="11" t="s">
        <v>267</v>
      </c>
      <c r="B34" s="12" t="n">
        <f aca="false">B24*SQRT(B22*(1-B22))</f>
        <v>4.40170421541475</v>
      </c>
      <c r="C34" s="5" t="s">
        <v>247</v>
      </c>
      <c r="D34" s="6" t="s">
        <v>441</v>
      </c>
      <c r="E34" s="6" t="s">
        <v>442</v>
      </c>
      <c r="F34" s="7" t="s">
        <v>443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375</v>
      </c>
      <c r="B36" s="12" t="n">
        <f aca="false">(((1-B22)^2)*(B8/B9))/(2*3.14159265*B22*(B26/1000000))/1000</f>
        <v>15.2257124972662</v>
      </c>
      <c r="C36" s="5" t="s">
        <v>172</v>
      </c>
      <c r="D36" s="6" t="s">
        <v>444</v>
      </c>
      <c r="E36" s="6" t="s">
        <v>445</v>
      </c>
      <c r="F36" s="7" t="s">
        <v>446</v>
      </c>
    </row>
    <row r="37" customFormat="false" ht="28" hidden="false" customHeight="true" outlineLevel="0" collapsed="false">
      <c r="A37" s="11" t="s">
        <v>447</v>
      </c>
      <c r="B37" s="12" t="n">
        <f aca="false">B36/4</f>
        <v>3.80642812431654</v>
      </c>
      <c r="C37" s="5" t="s">
        <v>172</v>
      </c>
      <c r="D37" s="6" t="s">
        <v>380</v>
      </c>
      <c r="E37" s="6" t="s">
        <v>381</v>
      </c>
      <c r="F37" s="7" t="s">
        <v>448</v>
      </c>
    </row>
    <row r="38" customFormat="false" ht="28" hidden="false" customHeight="true" outlineLevel="0" collapsed="false">
      <c r="A38" s="11" t="s">
        <v>383</v>
      </c>
      <c r="B38" s="12" t="n">
        <f aca="false">((B8/B9)*((1-B22)^2))/(2*B10*1000)*1000000</f>
        <v>1.00603543635623</v>
      </c>
      <c r="C38" s="5" t="s">
        <v>238</v>
      </c>
      <c r="D38" s="6" t="s">
        <v>449</v>
      </c>
      <c r="E38" s="6" t="s">
        <v>450</v>
      </c>
      <c r="F38" s="7" t="s">
        <v>451</v>
      </c>
    </row>
    <row r="39" customFormat="false" ht="28" hidden="false" customHeight="true" outlineLevel="0" collapsed="false">
      <c r="A39" s="11" t="s">
        <v>285</v>
      </c>
      <c r="B39" s="12" t="n">
        <f aca="false">(((B26/1000000)*B27*B28)/(0.35*B17*(B18*1000000)))*100000000</f>
        <v>0.168293652070756</v>
      </c>
      <c r="C39" s="5" t="s">
        <v>286</v>
      </c>
      <c r="D39" s="6" t="s">
        <v>387</v>
      </c>
      <c r="E39" s="6" t="s">
        <v>388</v>
      </c>
      <c r="F39" s="7" t="s">
        <v>452</v>
      </c>
    </row>
    <row r="40" customFormat="false" ht="28" hidden="false" customHeight="true" outlineLevel="0" collapsed="false">
      <c r="A40" s="11" t="s">
        <v>453</v>
      </c>
      <c r="B40" s="12" t="n">
        <f aca="false">((B8*(B12/100))/B27)*1000</f>
        <v>13.7904615973951</v>
      </c>
      <c r="C40" s="5" t="s">
        <v>199</v>
      </c>
      <c r="D40" s="6" t="s">
        <v>372</v>
      </c>
      <c r="E40" s="6" t="s">
        <v>373</v>
      </c>
      <c r="F40" s="7" t="s">
        <v>454</v>
      </c>
    </row>
    <row r="41" customFormat="false" ht="28" hidden="false" customHeight="true" outlineLevel="0" collapsed="false">
      <c r="A41" s="11" t="s">
        <v>455</v>
      </c>
      <c r="B41" s="12" t="n">
        <f aca="false">(B29^2)*(B16/1000) + 0.5*(B5+B8)*B24*(25/1000000000)*(B10*1000)</f>
        <v>1.905824609375</v>
      </c>
      <c r="C41" s="5" t="s">
        <v>215</v>
      </c>
      <c r="D41" s="6" t="s">
        <v>456</v>
      </c>
      <c r="E41" s="6" t="s">
        <v>457</v>
      </c>
      <c r="F41" s="7" t="s">
        <v>458</v>
      </c>
    </row>
    <row r="42" customFormat="false" ht="28" hidden="false" customHeight="true" outlineLevel="0" collapsed="false">
      <c r="A42" s="11" t="s">
        <v>459</v>
      </c>
      <c r="B42" s="12" t="n">
        <f aca="false">B9*B13</f>
        <v>1.5</v>
      </c>
      <c r="C42" s="5" t="s">
        <v>215</v>
      </c>
      <c r="D42" s="6" t="s">
        <v>460</v>
      </c>
      <c r="E42" s="6" t="s">
        <v>461</v>
      </c>
      <c r="F42" s="7" t="s">
        <v>462</v>
      </c>
    </row>
    <row r="43" customFormat="false" ht="28" hidden="false" customHeight="true" outlineLevel="0" collapsed="false">
      <c r="A43" s="11" t="s">
        <v>463</v>
      </c>
      <c r="B43" s="12" t="n">
        <f aca="false">B7+B8</f>
        <v>39</v>
      </c>
      <c r="C43" s="5" t="s">
        <v>150</v>
      </c>
      <c r="D43" s="6" t="s">
        <v>464</v>
      </c>
      <c r="E43" s="6" t="s">
        <v>465</v>
      </c>
      <c r="F43" s="7" t="s">
        <v>466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5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468</v>
      </c>
      <c r="B45" s="12" t="n">
        <f aca="false">B28/B18</f>
        <v>2.10971907281196</v>
      </c>
      <c r="C45" s="5" t="s">
        <v>320</v>
      </c>
      <c r="D45" s="6" t="s">
        <v>321</v>
      </c>
      <c r="E45" s="6" t="s">
        <v>322</v>
      </c>
      <c r="F45" s="7" t="s">
        <v>469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470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471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12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6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28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4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300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91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472</v>
      </c>
      <c r="B20" s="12" t="n">
        <f aca="false">B8*B9</f>
        <v>48</v>
      </c>
      <c r="C20" s="5" t="s">
        <v>215</v>
      </c>
      <c r="D20" s="6" t="s">
        <v>473</v>
      </c>
      <c r="E20" s="6" t="s">
        <v>474</v>
      </c>
      <c r="F20" s="7" t="s">
        <v>475</v>
      </c>
    </row>
    <row r="21" customFormat="false" ht="28" hidden="false" customHeight="true" outlineLevel="0" collapsed="false">
      <c r="A21" s="11" t="s">
        <v>327</v>
      </c>
      <c r="B21" s="12" t="n">
        <f aca="false">(B8+B13)/(B5+B8+B13)</f>
        <v>0.510204081632653</v>
      </c>
      <c r="C21" s="5" t="s">
        <v>220</v>
      </c>
      <c r="D21" s="6" t="s">
        <v>476</v>
      </c>
      <c r="E21" s="6" t="s">
        <v>477</v>
      </c>
      <c r="F21" s="7" t="s">
        <v>478</v>
      </c>
    </row>
    <row r="22" customFormat="false" ht="28" hidden="false" customHeight="true" outlineLevel="0" collapsed="false">
      <c r="A22" s="11" t="s">
        <v>224</v>
      </c>
      <c r="B22" s="12" t="n">
        <f aca="false">(B8+B13)/(B6+B8+B13)</f>
        <v>0.675675675675676</v>
      </c>
      <c r="C22" s="5" t="s">
        <v>220</v>
      </c>
      <c r="D22" s="6" t="s">
        <v>479</v>
      </c>
      <c r="E22" s="6" t="s">
        <v>480</v>
      </c>
      <c r="F22" s="7" t="s">
        <v>481</v>
      </c>
    </row>
    <row r="23" customFormat="false" ht="28" hidden="false" customHeight="true" outlineLevel="0" collapsed="false">
      <c r="A23" s="11" t="s">
        <v>228</v>
      </c>
      <c r="B23" s="12" t="n">
        <f aca="false">(B8+B13)/(B7+B8+B13)</f>
        <v>0.308641975308642</v>
      </c>
      <c r="C23" s="5" t="s">
        <v>220</v>
      </c>
      <c r="D23" s="6" t="s">
        <v>482</v>
      </c>
      <c r="E23" s="6" t="s">
        <v>483</v>
      </c>
      <c r="F23" s="7" t="s">
        <v>336</v>
      </c>
    </row>
    <row r="24" customFormat="false" ht="28" hidden="false" customHeight="true" outlineLevel="0" collapsed="false">
      <c r="A24" s="11" t="s">
        <v>484</v>
      </c>
      <c r="B24" s="12" t="n">
        <f aca="false">B9*(B22/(1-B22))/(B14/100)</f>
        <v>9.15750915750916</v>
      </c>
      <c r="C24" s="5" t="s">
        <v>167</v>
      </c>
      <c r="D24" s="6" t="s">
        <v>485</v>
      </c>
      <c r="E24" s="6" t="s">
        <v>486</v>
      </c>
      <c r="F24" s="7" t="s">
        <v>487</v>
      </c>
    </row>
    <row r="25" customFormat="false" ht="28" hidden="false" customHeight="true" outlineLevel="0" collapsed="false">
      <c r="A25" s="11" t="s">
        <v>488</v>
      </c>
      <c r="B25" s="12" t="n">
        <f aca="false">B24*(B11/100)</f>
        <v>2.74725274725275</v>
      </c>
      <c r="C25" s="5" t="s">
        <v>233</v>
      </c>
      <c r="D25" s="6" t="s">
        <v>489</v>
      </c>
      <c r="E25" s="6" t="s">
        <v>490</v>
      </c>
      <c r="F25" s="7" t="s">
        <v>491</v>
      </c>
    </row>
    <row r="26" customFormat="false" ht="28" hidden="false" customHeight="true" outlineLevel="0" collapsed="false">
      <c r="A26" s="11" t="s">
        <v>492</v>
      </c>
      <c r="B26" s="12" t="n">
        <f aca="false">(B6*B22)/(B25*B10*1000)*1000000</f>
        <v>4.91891891891892</v>
      </c>
      <c r="C26" s="5" t="s">
        <v>238</v>
      </c>
      <c r="D26" s="6" t="s">
        <v>493</v>
      </c>
      <c r="E26" s="6" t="s">
        <v>494</v>
      </c>
      <c r="F26" s="7" t="s">
        <v>495</v>
      </c>
    </row>
    <row r="27" customFormat="false" ht="28" hidden="false" customHeight="true" outlineLevel="0" collapsed="false">
      <c r="A27" s="11" t="s">
        <v>496</v>
      </c>
      <c r="B27" s="12" t="n">
        <f aca="false">B26/2</f>
        <v>2.45945945945946</v>
      </c>
      <c r="C27" s="5" t="s">
        <v>238</v>
      </c>
      <c r="D27" s="6" t="s">
        <v>497</v>
      </c>
      <c r="E27" s="6" t="s">
        <v>498</v>
      </c>
      <c r="F27" s="7" t="s">
        <v>499</v>
      </c>
    </row>
    <row r="28" customFormat="false" ht="28" hidden="false" customHeight="true" outlineLevel="0" collapsed="false">
      <c r="A28" s="11" t="s">
        <v>500</v>
      </c>
      <c r="B28" s="12" t="n">
        <f aca="false">B24 + B9 + B25</f>
        <v>15.9047619047619</v>
      </c>
      <c r="C28" s="5" t="s">
        <v>167</v>
      </c>
      <c r="D28" s="6" t="s">
        <v>501</v>
      </c>
      <c r="E28" s="6" t="s">
        <v>502</v>
      </c>
      <c r="F28" s="7" t="s">
        <v>503</v>
      </c>
    </row>
    <row r="29" customFormat="false" ht="28" hidden="false" customHeight="true" outlineLevel="0" collapsed="false">
      <c r="A29" s="11" t="s">
        <v>355</v>
      </c>
      <c r="B29" s="12" t="n">
        <f aca="false">(B24+B9)*SQRT(B22)</f>
        <v>10.8154059047774</v>
      </c>
      <c r="C29" s="5" t="s">
        <v>247</v>
      </c>
      <c r="D29" s="6" t="s">
        <v>504</v>
      </c>
      <c r="E29" s="6" t="s">
        <v>505</v>
      </c>
      <c r="F29" s="7" t="s">
        <v>506</v>
      </c>
    </row>
    <row r="30" customFormat="false" ht="28" hidden="false" customHeight="true" outlineLevel="0" collapsed="false">
      <c r="A30" s="11" t="s">
        <v>507</v>
      </c>
      <c r="B30" s="12" t="n">
        <f aca="false">(B24+B9)*SQRT(1-B22)</f>
        <v>7.49313301262193</v>
      </c>
      <c r="C30" s="5" t="s">
        <v>247</v>
      </c>
      <c r="D30" s="6" t="s">
        <v>508</v>
      </c>
      <c r="E30" s="6" t="s">
        <v>509</v>
      </c>
      <c r="F30" s="7" t="s">
        <v>432</v>
      </c>
    </row>
    <row r="31" customFormat="false" ht="28" hidden="false" customHeight="true" outlineLevel="0" collapsed="false">
      <c r="A31" s="11" t="s">
        <v>433</v>
      </c>
      <c r="B31" s="12" t="n">
        <f aca="false">B7+B8+B13</f>
        <v>40.5</v>
      </c>
      <c r="C31" s="5" t="s">
        <v>150</v>
      </c>
      <c r="D31" s="6" t="s">
        <v>510</v>
      </c>
      <c r="E31" s="6" t="s">
        <v>511</v>
      </c>
      <c r="F31" s="7" t="s">
        <v>512</v>
      </c>
    </row>
    <row r="32" customFormat="false" ht="28" hidden="false" customHeight="true" outlineLevel="0" collapsed="false">
      <c r="A32" s="11" t="s">
        <v>513</v>
      </c>
      <c r="B32" s="12" t="n">
        <f aca="false">B9*SQRT(B22/(1-B22))</f>
        <v>5.77350269189626</v>
      </c>
      <c r="C32" s="5" t="s">
        <v>247</v>
      </c>
      <c r="D32" s="6" t="s">
        <v>514</v>
      </c>
      <c r="E32" s="6" t="s">
        <v>515</v>
      </c>
      <c r="F32" s="7" t="s">
        <v>516</v>
      </c>
    </row>
    <row r="33" customFormat="false" ht="28" hidden="false" customHeight="true" outlineLevel="0" collapsed="false">
      <c r="A33" s="11" t="s">
        <v>517</v>
      </c>
      <c r="B33" s="12" t="n">
        <f aca="false">((B9*B22)/((B10*1000)*(0.05*B6)))*1000000</f>
        <v>30.03003003003</v>
      </c>
      <c r="C33" s="5" t="s">
        <v>272</v>
      </c>
      <c r="D33" s="6" t="s">
        <v>518</v>
      </c>
      <c r="E33" s="6" t="s">
        <v>519</v>
      </c>
      <c r="F33" s="7" t="s">
        <v>520</v>
      </c>
    </row>
    <row r="34" customFormat="false" ht="28" hidden="false" customHeight="true" outlineLevel="0" collapsed="false">
      <c r="A34" s="11" t="s">
        <v>271</v>
      </c>
      <c r="B34" s="12" t="n">
        <f aca="false">((B9*B22)/((B10*1000)*(B8*(B12/100))))*1000000</f>
        <v>75.0750750750751</v>
      </c>
      <c r="C34" s="5" t="s">
        <v>272</v>
      </c>
      <c r="D34" s="6" t="s">
        <v>369</v>
      </c>
      <c r="E34" s="6" t="s">
        <v>370</v>
      </c>
      <c r="F34" s="7" t="s">
        <v>521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522</v>
      </c>
      <c r="B36" s="12" t="n">
        <f aca="false">B26/2</f>
        <v>2.45945945945946</v>
      </c>
      <c r="C36" s="5" t="s">
        <v>238</v>
      </c>
      <c r="D36" s="6" t="s">
        <v>523</v>
      </c>
      <c r="E36" s="6" t="s">
        <v>524</v>
      </c>
      <c r="F36" s="7" t="s">
        <v>525</v>
      </c>
    </row>
    <row r="37" customFormat="false" ht="28" hidden="false" customHeight="true" outlineLevel="0" collapsed="false">
      <c r="A37" s="11" t="s">
        <v>526</v>
      </c>
      <c r="B37" s="12" t="n">
        <f aca="false">(((1-B22)^2)*(B8/B9))/(2*3.14159265*B22*(B36/1000000))/1000</f>
        <v>30.2219496678078</v>
      </c>
      <c r="C37" s="5" t="s">
        <v>172</v>
      </c>
      <c r="D37" s="6" t="s">
        <v>527</v>
      </c>
      <c r="E37" s="6" t="s">
        <v>528</v>
      </c>
      <c r="F37" s="7" t="s">
        <v>529</v>
      </c>
    </row>
    <row r="38" customFormat="false" ht="28" hidden="false" customHeight="true" outlineLevel="0" collapsed="false">
      <c r="A38" s="11" t="s">
        <v>530</v>
      </c>
      <c r="B38" s="12" t="n">
        <f aca="false">1/(2*3.14159265*SQRT((B36/1000000)*(B33/1000000)))/1000</f>
        <v>18.519208223277</v>
      </c>
      <c r="C38" s="5" t="s">
        <v>172</v>
      </c>
      <c r="D38" s="6" t="s">
        <v>531</v>
      </c>
      <c r="E38" s="6" t="s">
        <v>532</v>
      </c>
      <c r="F38" s="7" t="s">
        <v>533</v>
      </c>
    </row>
    <row r="39" customFormat="false" ht="28" hidden="false" customHeight="true" outlineLevel="0" collapsed="false">
      <c r="A39" s="11" t="s">
        <v>534</v>
      </c>
      <c r="B39" s="12" t="n">
        <f aca="false">SQRT(B9^2 + (B25^2)/12)</f>
        <v>4.07786093494788</v>
      </c>
      <c r="C39" s="5" t="s">
        <v>247</v>
      </c>
      <c r="D39" s="6" t="s">
        <v>535</v>
      </c>
      <c r="E39" s="6" t="s">
        <v>536</v>
      </c>
      <c r="F39" s="7" t="s">
        <v>537</v>
      </c>
    </row>
    <row r="40" customFormat="false" ht="28" hidden="false" customHeight="true" outlineLevel="0" collapsed="false">
      <c r="A40" s="11" t="s">
        <v>538</v>
      </c>
      <c r="B40" s="12" t="n">
        <f aca="false">(((B27/1000000)*B28*(B24+B39))/(0.35*B17*(B18*1000000)))*100000000</f>
        <v>0.109572385607414</v>
      </c>
      <c r="C40" s="5" t="s">
        <v>286</v>
      </c>
      <c r="D40" s="6" t="s">
        <v>539</v>
      </c>
      <c r="E40" s="6" t="s">
        <v>540</v>
      </c>
      <c r="F40" s="7" t="s">
        <v>541</v>
      </c>
    </row>
    <row r="41" customFormat="false" ht="28" hidden="false" customHeight="true" outlineLevel="0" collapsed="false">
      <c r="A41" s="11" t="s">
        <v>263</v>
      </c>
      <c r="B41" s="12" t="n">
        <f aca="false">SQRT((B30^2)-(B9^2))</f>
        <v>6.33616937469671</v>
      </c>
      <c r="C41" s="5" t="s">
        <v>247</v>
      </c>
      <c r="D41" s="6" t="s">
        <v>437</v>
      </c>
      <c r="E41" s="6" t="s">
        <v>438</v>
      </c>
      <c r="F41" s="7" t="s">
        <v>542</v>
      </c>
    </row>
    <row r="42" customFormat="false" ht="28" hidden="false" customHeight="true" outlineLevel="0" collapsed="false">
      <c r="A42" s="11" t="s">
        <v>543</v>
      </c>
      <c r="B42" s="12" t="n">
        <f aca="false">(B29^2)*(B16/1000) + 0.5*(B5+B8)*(B24+B9)*(22/1000000000)*(B10*1000)</f>
        <v>2.79666979855112</v>
      </c>
      <c r="C42" s="5" t="s">
        <v>215</v>
      </c>
      <c r="D42" s="6" t="s">
        <v>544</v>
      </c>
      <c r="E42" s="6" t="s">
        <v>545</v>
      </c>
      <c r="F42" s="7" t="s">
        <v>546</v>
      </c>
    </row>
    <row r="43" customFormat="false" ht="28" hidden="false" customHeight="true" outlineLevel="0" collapsed="false">
      <c r="A43" s="11" t="s">
        <v>459</v>
      </c>
      <c r="B43" s="12" t="n">
        <f aca="false">B9*B13</f>
        <v>2</v>
      </c>
      <c r="C43" s="5" t="s">
        <v>215</v>
      </c>
      <c r="D43" s="6" t="s">
        <v>460</v>
      </c>
      <c r="E43" s="6" t="s">
        <v>461</v>
      </c>
      <c r="F43" s="7" t="s">
        <v>547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4.74725274725275</v>
      </c>
      <c r="C44" s="5" t="s">
        <v>215</v>
      </c>
      <c r="D44" s="6" t="s">
        <v>311</v>
      </c>
      <c r="E44" s="6" t="s">
        <v>312</v>
      </c>
      <c r="F44" s="7" t="s">
        <v>548</v>
      </c>
    </row>
    <row r="45" customFormat="false" ht="28" hidden="false" customHeight="true" outlineLevel="0" collapsed="false">
      <c r="A45" s="11" t="s">
        <v>549</v>
      </c>
      <c r="B45" s="12" t="n">
        <f aca="false">(B24+B39)/B18</f>
        <v>2.94119335387934</v>
      </c>
      <c r="C45" s="5" t="s">
        <v>320</v>
      </c>
      <c r="D45" s="6" t="s">
        <v>550</v>
      </c>
      <c r="E45" s="6" t="s">
        <v>551</v>
      </c>
      <c r="F45" s="7" t="s">
        <v>552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553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554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12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8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24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15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3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300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0.5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91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407</v>
      </c>
      <c r="B20" s="12" t="n">
        <f aca="false">B8*B9</f>
        <v>45</v>
      </c>
      <c r="C20" s="5" t="s">
        <v>215</v>
      </c>
      <c r="D20" s="6" t="s">
        <v>555</v>
      </c>
      <c r="E20" s="6" t="s">
        <v>409</v>
      </c>
      <c r="F20" s="7" t="s">
        <v>556</v>
      </c>
    </row>
    <row r="21" customFormat="false" ht="28" hidden="false" customHeight="true" outlineLevel="0" collapsed="false">
      <c r="A21" s="11" t="s">
        <v>327</v>
      </c>
      <c r="B21" s="12" t="n">
        <f aca="false">(B8+B13)/(B5+B8+B13)</f>
        <v>0.563636363636364</v>
      </c>
      <c r="C21" s="5" t="s">
        <v>220</v>
      </c>
      <c r="D21" s="6" t="s">
        <v>557</v>
      </c>
      <c r="E21" s="6" t="s">
        <v>558</v>
      </c>
      <c r="F21" s="7" t="s">
        <v>559</v>
      </c>
    </row>
    <row r="22" customFormat="false" ht="28" hidden="false" customHeight="true" outlineLevel="0" collapsed="false">
      <c r="A22" s="11" t="s">
        <v>224</v>
      </c>
      <c r="B22" s="12" t="n">
        <f aca="false">(B8+B13)/(B6+B8+B13)</f>
        <v>0.659574468085106</v>
      </c>
      <c r="C22" s="5" t="s">
        <v>220</v>
      </c>
      <c r="D22" s="6" t="s">
        <v>560</v>
      </c>
      <c r="E22" s="6" t="s">
        <v>561</v>
      </c>
      <c r="F22" s="7" t="s">
        <v>562</v>
      </c>
    </row>
    <row r="23" customFormat="false" ht="28" hidden="false" customHeight="true" outlineLevel="0" collapsed="false">
      <c r="A23" s="11" t="s">
        <v>228</v>
      </c>
      <c r="B23" s="12" t="n">
        <f aca="false">(B8+B13)/(B7+B8+B13)</f>
        <v>0.392405063291139</v>
      </c>
      <c r="C23" s="5" t="s">
        <v>220</v>
      </c>
      <c r="D23" s="6" t="s">
        <v>563</v>
      </c>
      <c r="E23" s="6" t="s">
        <v>564</v>
      </c>
      <c r="F23" s="7" t="s">
        <v>565</v>
      </c>
    </row>
    <row r="24" customFormat="false" ht="28" hidden="false" customHeight="true" outlineLevel="0" collapsed="false">
      <c r="A24" s="11" t="s">
        <v>566</v>
      </c>
      <c r="B24" s="12" t="n">
        <f aca="false">B9*(B22/(1-B22))/(B14/100)</f>
        <v>6.38736263736264</v>
      </c>
      <c r="C24" s="5" t="s">
        <v>167</v>
      </c>
      <c r="D24" s="6" t="s">
        <v>485</v>
      </c>
      <c r="E24" s="6" t="s">
        <v>567</v>
      </c>
      <c r="F24" s="7" t="s">
        <v>568</v>
      </c>
    </row>
    <row r="25" customFormat="false" ht="28" hidden="false" customHeight="true" outlineLevel="0" collapsed="false">
      <c r="A25" s="11" t="s">
        <v>569</v>
      </c>
      <c r="B25" s="12" t="n">
        <f aca="false">B9*(B11/100)</f>
        <v>0.75</v>
      </c>
      <c r="C25" s="5" t="s">
        <v>233</v>
      </c>
      <c r="D25" s="6" t="s">
        <v>570</v>
      </c>
      <c r="E25" s="6" t="s">
        <v>571</v>
      </c>
      <c r="F25" s="7" t="s">
        <v>572</v>
      </c>
    </row>
    <row r="26" customFormat="false" ht="28" hidden="false" customHeight="true" outlineLevel="0" collapsed="false">
      <c r="A26" s="11" t="s">
        <v>573</v>
      </c>
      <c r="B26" s="12" t="n">
        <f aca="false">(B6*B22)/(B25*B10*1000)*1000000</f>
        <v>23.451536643026</v>
      </c>
      <c r="C26" s="5" t="s">
        <v>238</v>
      </c>
      <c r="D26" s="6" t="s">
        <v>493</v>
      </c>
      <c r="E26" s="6" t="s">
        <v>494</v>
      </c>
      <c r="F26" s="7" t="s">
        <v>574</v>
      </c>
    </row>
    <row r="27" customFormat="false" ht="28" hidden="false" customHeight="true" outlineLevel="0" collapsed="false">
      <c r="A27" s="11" t="s">
        <v>500</v>
      </c>
      <c r="B27" s="12" t="n">
        <f aca="false">B24 + B9 + B25</f>
        <v>10.1373626373626</v>
      </c>
      <c r="C27" s="5" t="s">
        <v>167</v>
      </c>
      <c r="D27" s="6" t="s">
        <v>575</v>
      </c>
      <c r="E27" s="6" t="s">
        <v>576</v>
      </c>
      <c r="F27" s="7" t="s">
        <v>577</v>
      </c>
    </row>
    <row r="28" customFormat="false" ht="28" hidden="false" customHeight="true" outlineLevel="0" collapsed="false">
      <c r="A28" s="11" t="s">
        <v>355</v>
      </c>
      <c r="B28" s="12" t="n">
        <f aca="false">(B24+B9)*SQRT(B22)</f>
        <v>7.62387054187535</v>
      </c>
      <c r="C28" s="5" t="s">
        <v>247</v>
      </c>
      <c r="D28" s="6" t="s">
        <v>504</v>
      </c>
      <c r="E28" s="6" t="s">
        <v>505</v>
      </c>
      <c r="F28" s="7" t="s">
        <v>578</v>
      </c>
    </row>
    <row r="29" customFormat="false" ht="28" hidden="false" customHeight="true" outlineLevel="0" collapsed="false">
      <c r="A29" s="11" t="s">
        <v>431</v>
      </c>
      <c r="B29" s="12" t="n">
        <f aca="false">(B24+B9)*SQRT(1-B22)</f>
        <v>5.47715028514622</v>
      </c>
      <c r="C29" s="5" t="s">
        <v>247</v>
      </c>
      <c r="D29" s="6" t="s">
        <v>508</v>
      </c>
      <c r="E29" s="6" t="s">
        <v>509</v>
      </c>
      <c r="F29" s="7" t="s">
        <v>579</v>
      </c>
    </row>
    <row r="30" customFormat="false" ht="28" hidden="false" customHeight="true" outlineLevel="0" collapsed="false">
      <c r="A30" s="11" t="s">
        <v>580</v>
      </c>
      <c r="B30" s="12" t="n">
        <f aca="false">B7+B8</f>
        <v>39</v>
      </c>
      <c r="C30" s="5" t="s">
        <v>150</v>
      </c>
      <c r="D30" s="6" t="s">
        <v>581</v>
      </c>
      <c r="E30" s="6" t="s">
        <v>582</v>
      </c>
      <c r="F30" s="7" t="s">
        <v>583</v>
      </c>
    </row>
    <row r="31" customFormat="false" ht="28" hidden="false" customHeight="true" outlineLevel="0" collapsed="false">
      <c r="A31" s="11" t="s">
        <v>259</v>
      </c>
      <c r="B31" s="12" t="n">
        <f aca="false">B7+B8+B13</f>
        <v>39.5</v>
      </c>
      <c r="C31" s="5" t="s">
        <v>150</v>
      </c>
      <c r="D31" s="6" t="s">
        <v>434</v>
      </c>
      <c r="E31" s="6" t="s">
        <v>435</v>
      </c>
      <c r="F31" s="7" t="s">
        <v>584</v>
      </c>
    </row>
    <row r="32" customFormat="false" ht="28" hidden="false" customHeight="true" outlineLevel="0" collapsed="false">
      <c r="A32" s="11" t="s">
        <v>513</v>
      </c>
      <c r="B32" s="12" t="n">
        <f aca="false">B9*SQRT(B22/(1-B22))</f>
        <v>4.17582327212252</v>
      </c>
      <c r="C32" s="5" t="s">
        <v>247</v>
      </c>
      <c r="D32" s="6" t="s">
        <v>514</v>
      </c>
      <c r="E32" s="6" t="s">
        <v>515</v>
      </c>
      <c r="F32" s="7" t="s">
        <v>585</v>
      </c>
    </row>
    <row r="33" customFormat="false" ht="28" hidden="false" customHeight="true" outlineLevel="0" collapsed="false">
      <c r="A33" s="11" t="s">
        <v>263</v>
      </c>
      <c r="B33" s="12" t="n">
        <f aca="false">B25/SQRT(12)</f>
        <v>0.21650635094611</v>
      </c>
      <c r="C33" s="5" t="s">
        <v>247</v>
      </c>
      <c r="D33" s="6" t="s">
        <v>586</v>
      </c>
      <c r="E33" s="6" t="s">
        <v>587</v>
      </c>
      <c r="F33" s="7" t="s">
        <v>588</v>
      </c>
    </row>
    <row r="34" customFormat="false" ht="28" hidden="false" customHeight="true" outlineLevel="0" collapsed="false">
      <c r="A34" s="11" t="s">
        <v>271</v>
      </c>
      <c r="B34" s="12" t="n">
        <f aca="false">(B25/(8*(B10*1000)*(B8*(B12/100))))*1000000</f>
        <v>4.16666666666667</v>
      </c>
      <c r="C34" s="5" t="s">
        <v>272</v>
      </c>
      <c r="D34" s="6" t="s">
        <v>589</v>
      </c>
      <c r="E34" s="6" t="s">
        <v>590</v>
      </c>
      <c r="F34" s="7" t="s">
        <v>591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592</v>
      </c>
      <c r="B36" s="12" t="n">
        <f aca="false">((B9*B22)/((B10*1000)*(0.03*(B6+B8))))*1000000</f>
        <v>9.55905026210299</v>
      </c>
      <c r="C36" s="5" t="s">
        <v>272</v>
      </c>
      <c r="D36" s="6" t="s">
        <v>593</v>
      </c>
      <c r="E36" s="6" t="s">
        <v>519</v>
      </c>
      <c r="F36" s="7" t="s">
        <v>594</v>
      </c>
    </row>
    <row r="37" customFormat="false" ht="28" hidden="false" customHeight="true" outlineLevel="0" collapsed="false">
      <c r="A37" s="11" t="s">
        <v>595</v>
      </c>
      <c r="B37" s="12" t="n">
        <f aca="false">B22/(1-B21+0.0001)</f>
        <v>1.51117851095294</v>
      </c>
      <c r="C37" s="5" t="s">
        <v>194</v>
      </c>
      <c r="D37" s="6" t="s">
        <v>596</v>
      </c>
      <c r="E37" s="6" t="s">
        <v>597</v>
      </c>
      <c r="F37" s="7" t="s">
        <v>598</v>
      </c>
    </row>
    <row r="38" customFormat="false" ht="28" hidden="false" customHeight="true" outlineLevel="0" collapsed="false">
      <c r="A38" s="11" t="s">
        <v>526</v>
      </c>
      <c r="B38" s="12" t="n">
        <f aca="false">(((1-B22)^2)*(B8/B9))/(2*3.14159265*B22*(B26/2000000))/1000</f>
        <v>11.9241997041732</v>
      </c>
      <c r="C38" s="5" t="s">
        <v>172</v>
      </c>
      <c r="D38" s="6" t="s">
        <v>527</v>
      </c>
      <c r="E38" s="6" t="s">
        <v>528</v>
      </c>
      <c r="F38" s="7" t="s">
        <v>599</v>
      </c>
    </row>
    <row r="39" customFormat="false" ht="28" hidden="false" customHeight="true" outlineLevel="0" collapsed="false">
      <c r="A39" s="11" t="s">
        <v>600</v>
      </c>
      <c r="B39" s="12" t="n">
        <f aca="false">1/(2*3.14159265*SQRT((B26/1000000)*(B34/1000000)))/1000</f>
        <v>16.1005273365832</v>
      </c>
      <c r="C39" s="5" t="s">
        <v>172</v>
      </c>
      <c r="D39" s="6" t="s">
        <v>601</v>
      </c>
      <c r="E39" s="6" t="s">
        <v>602</v>
      </c>
      <c r="F39" s="7" t="s">
        <v>603</v>
      </c>
    </row>
    <row r="40" customFormat="false" ht="28" hidden="false" customHeight="true" outlineLevel="0" collapsed="false">
      <c r="A40" s="11" t="s">
        <v>604</v>
      </c>
      <c r="B40" s="12" t="n">
        <f aca="false">((B8*(B12/100))/B25)*1000</f>
        <v>100</v>
      </c>
      <c r="C40" s="5" t="s">
        <v>199</v>
      </c>
      <c r="D40" s="6" t="s">
        <v>605</v>
      </c>
      <c r="E40" s="6" t="s">
        <v>606</v>
      </c>
      <c r="F40" s="7" t="s">
        <v>607</v>
      </c>
    </row>
    <row r="41" customFormat="false" ht="28" hidden="false" customHeight="true" outlineLevel="0" collapsed="false">
      <c r="A41" s="11" t="s">
        <v>608</v>
      </c>
      <c r="B41" s="12" t="n">
        <f aca="false">(((B26/1000000)*B27*(B24+B9))/(0.35*B17*(B18*1000000)))*100000000</f>
        <v>0.472321885595542</v>
      </c>
      <c r="C41" s="5" t="s">
        <v>286</v>
      </c>
      <c r="D41" s="6" t="s">
        <v>609</v>
      </c>
      <c r="E41" s="6" t="s">
        <v>610</v>
      </c>
      <c r="F41" s="7" t="s">
        <v>611</v>
      </c>
    </row>
    <row r="42" customFormat="false" ht="28" hidden="false" customHeight="true" outlineLevel="0" collapsed="false">
      <c r="A42" s="11" t="s">
        <v>612</v>
      </c>
      <c r="B42" s="12" t="n">
        <f aca="false">(B28^2)*(B16/1000) + 0.5*(B5+B8)*(B24+B9)*(22/1000000000)*(B10*1000)</f>
        <v>1.70826504157813</v>
      </c>
      <c r="C42" s="5" t="s">
        <v>215</v>
      </c>
      <c r="D42" s="6" t="s">
        <v>613</v>
      </c>
      <c r="E42" s="6" t="s">
        <v>614</v>
      </c>
      <c r="F42" s="7" t="s">
        <v>615</v>
      </c>
    </row>
    <row r="43" customFormat="false" ht="28" hidden="false" customHeight="true" outlineLevel="0" collapsed="false">
      <c r="A43" s="11" t="s">
        <v>459</v>
      </c>
      <c r="B43" s="12" t="n">
        <f aca="false">B9*B13</f>
        <v>1.5</v>
      </c>
      <c r="C43" s="5" t="s">
        <v>215</v>
      </c>
      <c r="D43" s="6" t="s">
        <v>460</v>
      </c>
      <c r="E43" s="6" t="s">
        <v>461</v>
      </c>
      <c r="F43" s="7" t="s">
        <v>616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4.45054945054945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617</v>
      </c>
      <c r="B45" s="12" t="n">
        <f aca="false">(B24+B9)/B18</f>
        <v>2.08608058608059</v>
      </c>
      <c r="C45" s="5" t="s">
        <v>320</v>
      </c>
      <c r="D45" s="6" t="s">
        <v>550</v>
      </c>
      <c r="E45" s="6" t="s">
        <v>551</v>
      </c>
      <c r="F45" s="7" t="s">
        <v>618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619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620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12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6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28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4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300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0.5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91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0.3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48</v>
      </c>
      <c r="C20" s="5" t="s">
        <v>215</v>
      </c>
      <c r="D20" s="6" t="s">
        <v>216</v>
      </c>
      <c r="E20" s="6" t="s">
        <v>217</v>
      </c>
      <c r="F20" s="7" t="s">
        <v>621</v>
      </c>
    </row>
    <row r="21" customFormat="false" ht="28" hidden="false" customHeight="true" outlineLevel="0" collapsed="false">
      <c r="A21" s="11" t="s">
        <v>327</v>
      </c>
      <c r="B21" s="12" t="n">
        <f aca="false">(B8+B13)/(B5+B8+B13)</f>
        <v>0.510204081632653</v>
      </c>
      <c r="C21" s="5" t="s">
        <v>220</v>
      </c>
      <c r="D21" s="6" t="s">
        <v>476</v>
      </c>
      <c r="E21" s="6" t="s">
        <v>477</v>
      </c>
      <c r="F21" s="7" t="s">
        <v>622</v>
      </c>
    </row>
    <row r="22" customFormat="false" ht="28" hidden="false" customHeight="true" outlineLevel="0" collapsed="false">
      <c r="A22" s="11" t="s">
        <v>224</v>
      </c>
      <c r="B22" s="12" t="n">
        <f aca="false">(B8+B13)/(B6+B8+B13)</f>
        <v>0.675675675675676</v>
      </c>
      <c r="C22" s="5" t="s">
        <v>220</v>
      </c>
      <c r="D22" s="6" t="s">
        <v>479</v>
      </c>
      <c r="E22" s="6" t="s">
        <v>480</v>
      </c>
      <c r="F22" s="7" t="s">
        <v>623</v>
      </c>
    </row>
    <row r="23" customFormat="false" ht="28" hidden="false" customHeight="true" outlineLevel="0" collapsed="false">
      <c r="A23" s="11" t="s">
        <v>228</v>
      </c>
      <c r="B23" s="12" t="n">
        <f aca="false">(B8+B13)/(B7+B8+B13)</f>
        <v>0.308641975308642</v>
      </c>
      <c r="C23" s="5" t="s">
        <v>220</v>
      </c>
      <c r="D23" s="6" t="s">
        <v>482</v>
      </c>
      <c r="E23" s="6" t="s">
        <v>483</v>
      </c>
      <c r="F23" s="7" t="s">
        <v>624</v>
      </c>
    </row>
    <row r="24" customFormat="false" ht="28" hidden="false" customHeight="true" outlineLevel="0" collapsed="false">
      <c r="A24" s="11" t="s">
        <v>625</v>
      </c>
      <c r="B24" s="12" t="n">
        <f aca="false">B9*(B22/(1-B22))/(B14/100)</f>
        <v>9.15750915750916</v>
      </c>
      <c r="C24" s="5" t="s">
        <v>167</v>
      </c>
      <c r="D24" s="6" t="s">
        <v>485</v>
      </c>
      <c r="E24" s="6" t="s">
        <v>567</v>
      </c>
      <c r="F24" s="7" t="s">
        <v>626</v>
      </c>
    </row>
    <row r="25" customFormat="false" ht="28" hidden="false" customHeight="true" outlineLevel="0" collapsed="false">
      <c r="A25" s="11" t="s">
        <v>627</v>
      </c>
      <c r="B25" s="12" t="n">
        <f aca="false">B9*(B11/100)</f>
        <v>1.2</v>
      </c>
      <c r="C25" s="5" t="s">
        <v>233</v>
      </c>
      <c r="D25" s="6" t="s">
        <v>234</v>
      </c>
      <c r="E25" s="6" t="s">
        <v>235</v>
      </c>
      <c r="F25" s="7" t="s">
        <v>628</v>
      </c>
    </row>
    <row r="26" customFormat="false" ht="28" hidden="false" customHeight="true" outlineLevel="0" collapsed="false">
      <c r="A26" s="11" t="s">
        <v>496</v>
      </c>
      <c r="B26" s="12" t="n">
        <f aca="false">(B6*B22)/(2*B25*B10*1000)*1000000</f>
        <v>5.63063063063063</v>
      </c>
      <c r="C26" s="5" t="s">
        <v>238</v>
      </c>
      <c r="D26" s="6" t="s">
        <v>497</v>
      </c>
      <c r="E26" s="6" t="s">
        <v>498</v>
      </c>
      <c r="F26" s="7" t="s">
        <v>629</v>
      </c>
    </row>
    <row r="27" customFormat="false" ht="28" hidden="false" customHeight="true" outlineLevel="0" collapsed="false">
      <c r="A27" s="11" t="s">
        <v>630</v>
      </c>
      <c r="B27" s="12" t="n">
        <f aca="false">B24 + B9 + B25</f>
        <v>14.3575091575092</v>
      </c>
      <c r="C27" s="5" t="s">
        <v>167</v>
      </c>
      <c r="D27" s="6" t="s">
        <v>631</v>
      </c>
      <c r="E27" s="6" t="s">
        <v>576</v>
      </c>
      <c r="F27" s="7" t="s">
        <v>632</v>
      </c>
    </row>
    <row r="28" customFormat="false" ht="28" hidden="false" customHeight="true" outlineLevel="0" collapsed="false">
      <c r="A28" s="11" t="s">
        <v>355</v>
      </c>
      <c r="B28" s="12" t="n">
        <f aca="false">(B24+B9)*SQRT(B22)</f>
        <v>10.8154059047774</v>
      </c>
      <c r="C28" s="5" t="s">
        <v>247</v>
      </c>
      <c r="D28" s="6" t="s">
        <v>504</v>
      </c>
      <c r="E28" s="6" t="s">
        <v>505</v>
      </c>
      <c r="F28" s="7" t="s">
        <v>633</v>
      </c>
    </row>
    <row r="29" customFormat="false" ht="28" hidden="false" customHeight="true" outlineLevel="0" collapsed="false">
      <c r="A29" s="11" t="s">
        <v>507</v>
      </c>
      <c r="B29" s="12" t="n">
        <f aca="false">(B24+B9)*SQRT(1-B22)</f>
        <v>7.49313301262193</v>
      </c>
      <c r="C29" s="5" t="s">
        <v>247</v>
      </c>
      <c r="D29" s="6" t="s">
        <v>508</v>
      </c>
      <c r="E29" s="6" t="s">
        <v>509</v>
      </c>
      <c r="F29" s="7" t="s">
        <v>634</v>
      </c>
    </row>
    <row r="30" customFormat="false" ht="28" hidden="false" customHeight="true" outlineLevel="0" collapsed="false">
      <c r="A30" s="11" t="s">
        <v>635</v>
      </c>
      <c r="B30" s="12" t="n">
        <f aca="false">B8</f>
        <v>12</v>
      </c>
      <c r="C30" s="5" t="s">
        <v>150</v>
      </c>
      <c r="D30" s="6" t="s">
        <v>636</v>
      </c>
      <c r="E30" s="6" t="s">
        <v>637</v>
      </c>
      <c r="F30" s="7" t="s">
        <v>638</v>
      </c>
    </row>
    <row r="31" customFormat="false" ht="28" hidden="false" customHeight="true" outlineLevel="0" collapsed="false">
      <c r="A31" s="11" t="s">
        <v>259</v>
      </c>
      <c r="B31" s="12" t="n">
        <f aca="false">B7+B8+B13</f>
        <v>40.5</v>
      </c>
      <c r="C31" s="5" t="s">
        <v>150</v>
      </c>
      <c r="D31" s="6" t="s">
        <v>510</v>
      </c>
      <c r="E31" s="6" t="s">
        <v>511</v>
      </c>
      <c r="F31" s="7" t="s">
        <v>639</v>
      </c>
    </row>
    <row r="32" customFormat="false" ht="28" hidden="false" customHeight="true" outlineLevel="0" collapsed="false">
      <c r="A32" s="11" t="s">
        <v>513</v>
      </c>
      <c r="B32" s="12" t="n">
        <f aca="false">B9*SQRT(B22/(1-B22))</f>
        <v>5.77350269189626</v>
      </c>
      <c r="C32" s="5" t="s">
        <v>247</v>
      </c>
      <c r="D32" s="6" t="s">
        <v>514</v>
      </c>
      <c r="E32" s="6" t="s">
        <v>515</v>
      </c>
      <c r="F32" s="7" t="s">
        <v>640</v>
      </c>
    </row>
    <row r="33" customFormat="false" ht="28" hidden="false" customHeight="true" outlineLevel="0" collapsed="false">
      <c r="A33" s="11" t="s">
        <v>263</v>
      </c>
      <c r="B33" s="12" t="n">
        <f aca="false">B25/SQRT(12)</f>
        <v>0.346410161513775</v>
      </c>
      <c r="C33" s="5" t="s">
        <v>247</v>
      </c>
      <c r="D33" s="6" t="s">
        <v>586</v>
      </c>
      <c r="E33" s="6" t="s">
        <v>587</v>
      </c>
      <c r="F33" s="7" t="s">
        <v>641</v>
      </c>
    </row>
    <row r="34" customFormat="false" ht="28" hidden="false" customHeight="true" outlineLevel="0" collapsed="false">
      <c r="A34" s="11" t="s">
        <v>271</v>
      </c>
      <c r="B34" s="12" t="n">
        <f aca="false">(B25/(8*(B10*1000)*(B8*(B12/100))))*1000000</f>
        <v>8.33333333333333</v>
      </c>
      <c r="C34" s="5" t="s">
        <v>272</v>
      </c>
      <c r="D34" s="6" t="s">
        <v>589</v>
      </c>
      <c r="E34" s="6" t="s">
        <v>590</v>
      </c>
      <c r="F34" s="7" t="s">
        <v>642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267</v>
      </c>
      <c r="B36" s="12" t="n">
        <f aca="false">(B24+B9)*SQRT(B22*(1-B22))</f>
        <v>6.15931739509693</v>
      </c>
      <c r="C36" s="5" t="s">
        <v>247</v>
      </c>
      <c r="D36" s="6" t="s">
        <v>643</v>
      </c>
      <c r="E36" s="6" t="s">
        <v>644</v>
      </c>
      <c r="F36" s="7" t="s">
        <v>645</v>
      </c>
    </row>
    <row r="37" customFormat="false" ht="28" hidden="false" customHeight="true" outlineLevel="0" collapsed="false">
      <c r="A37" s="11" t="s">
        <v>646</v>
      </c>
      <c r="B37" s="12" t="n">
        <f aca="false">((B9*B22)/((B10*1000)*(0.03*B8)))*1000000</f>
        <v>25.025025025025</v>
      </c>
      <c r="C37" s="5" t="s">
        <v>272</v>
      </c>
      <c r="D37" s="6" t="s">
        <v>647</v>
      </c>
      <c r="E37" s="6" t="s">
        <v>648</v>
      </c>
      <c r="F37" s="7" t="s">
        <v>649</v>
      </c>
    </row>
    <row r="38" customFormat="false" ht="28" hidden="false" customHeight="true" outlineLevel="0" collapsed="false">
      <c r="A38" s="11" t="s">
        <v>650</v>
      </c>
      <c r="B38" s="12" t="n">
        <f aca="false">B10/7</f>
        <v>42.8571428571429</v>
      </c>
      <c r="C38" s="5" t="s">
        <v>172</v>
      </c>
      <c r="D38" s="6" t="s">
        <v>651</v>
      </c>
      <c r="E38" s="6" t="s">
        <v>652</v>
      </c>
      <c r="F38" s="7" t="s">
        <v>653</v>
      </c>
    </row>
    <row r="39" customFormat="false" ht="28" hidden="false" customHeight="true" outlineLevel="0" collapsed="false">
      <c r="A39" s="11" t="s">
        <v>600</v>
      </c>
      <c r="B39" s="12" t="n">
        <f aca="false">1/(2*3.14159265*SQRT((B26*2/1000000)*(B34/1000000)))/1000</f>
        <v>16.4292310787828</v>
      </c>
      <c r="C39" s="5" t="s">
        <v>172</v>
      </c>
      <c r="D39" s="6" t="s">
        <v>601</v>
      </c>
      <c r="E39" s="6" t="s">
        <v>602</v>
      </c>
      <c r="F39" s="7" t="s">
        <v>654</v>
      </c>
    </row>
    <row r="40" customFormat="false" ht="28" hidden="false" customHeight="true" outlineLevel="0" collapsed="false">
      <c r="A40" s="11" t="s">
        <v>453</v>
      </c>
      <c r="B40" s="12" t="n">
        <f aca="false">((B8*(B12/100))/B25)*1000</f>
        <v>50</v>
      </c>
      <c r="C40" s="5" t="s">
        <v>199</v>
      </c>
      <c r="D40" s="6" t="s">
        <v>605</v>
      </c>
      <c r="E40" s="6" t="s">
        <v>606</v>
      </c>
      <c r="F40" s="7" t="s">
        <v>655</v>
      </c>
    </row>
    <row r="41" customFormat="false" ht="28" hidden="false" customHeight="true" outlineLevel="0" collapsed="false">
      <c r="A41" s="11" t="s">
        <v>656</v>
      </c>
      <c r="B41" s="12" t="n">
        <f aca="false">(((B26/1000000)*B27*(B24+B9))/(0.35*B17*(B18*1000000)))*100000000</f>
        <v>0.225116852827766</v>
      </c>
      <c r="C41" s="5" t="s">
        <v>286</v>
      </c>
      <c r="D41" s="6" t="s">
        <v>539</v>
      </c>
      <c r="E41" s="6" t="s">
        <v>657</v>
      </c>
      <c r="F41" s="7" t="s">
        <v>658</v>
      </c>
    </row>
    <row r="42" customFormat="false" ht="28" hidden="false" customHeight="true" outlineLevel="0" collapsed="false">
      <c r="A42" s="11" t="s">
        <v>612</v>
      </c>
      <c r="B42" s="12" t="n">
        <f aca="false">(B28^2)*(B16/1000) + 0.5*(B5+B8)*(B24+B9)*(22/1000000000)*(B10*1000)</f>
        <v>2.79666979855112</v>
      </c>
      <c r="C42" s="5" t="s">
        <v>215</v>
      </c>
      <c r="D42" s="6" t="s">
        <v>544</v>
      </c>
      <c r="E42" s="6" t="s">
        <v>545</v>
      </c>
      <c r="F42" s="7" t="s">
        <v>659</v>
      </c>
    </row>
    <row r="43" customFormat="false" ht="28" hidden="false" customHeight="true" outlineLevel="0" collapsed="false">
      <c r="A43" s="11" t="s">
        <v>459</v>
      </c>
      <c r="B43" s="12" t="n">
        <f aca="false">B9*B13</f>
        <v>2</v>
      </c>
      <c r="C43" s="5" t="s">
        <v>215</v>
      </c>
      <c r="D43" s="6" t="s">
        <v>460</v>
      </c>
      <c r="E43" s="6" t="s">
        <v>461</v>
      </c>
      <c r="F43" s="7" t="s">
        <v>660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4.74725274725275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617</v>
      </c>
      <c r="B45" s="12" t="n">
        <f aca="false">(B24+B9)/B18</f>
        <v>2.92389092389092</v>
      </c>
      <c r="C45" s="5" t="s">
        <v>320</v>
      </c>
      <c r="D45" s="6" t="s">
        <v>550</v>
      </c>
      <c r="E45" s="6" t="s">
        <v>551</v>
      </c>
      <c r="F45" s="7" t="s">
        <v>661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662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663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310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120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375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5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88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8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250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0.28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60</v>
      </c>
      <c r="C20" s="5" t="s">
        <v>215</v>
      </c>
      <c r="D20" s="6" t="s">
        <v>216</v>
      </c>
      <c r="E20" s="6" t="s">
        <v>217</v>
      </c>
      <c r="F20" s="7" t="s">
        <v>664</v>
      </c>
    </row>
    <row r="21" customFormat="false" ht="28" hidden="false" customHeight="true" outlineLevel="0" collapsed="false">
      <c r="A21" s="11" t="s">
        <v>665</v>
      </c>
      <c r="B21" s="12" t="n">
        <f aca="false">B15*(B8+B13)</f>
        <v>100</v>
      </c>
      <c r="C21" s="5" t="s">
        <v>150</v>
      </c>
      <c r="D21" s="6" t="s">
        <v>666</v>
      </c>
      <c r="E21" s="6" t="s">
        <v>667</v>
      </c>
      <c r="F21" s="7" t="s">
        <v>668</v>
      </c>
    </row>
    <row r="22" customFormat="false" ht="28" hidden="false" customHeight="true" outlineLevel="0" collapsed="false">
      <c r="A22" s="11" t="s">
        <v>224</v>
      </c>
      <c r="B22" s="12" t="n">
        <f aca="false">B21/(B6+B21)</f>
        <v>0.454545454545455</v>
      </c>
      <c r="C22" s="5" t="s">
        <v>220</v>
      </c>
      <c r="D22" s="6" t="s">
        <v>669</v>
      </c>
      <c r="E22" s="6" t="s">
        <v>670</v>
      </c>
      <c r="F22" s="7" t="s">
        <v>671</v>
      </c>
    </row>
    <row r="23" customFormat="false" ht="28" hidden="false" customHeight="true" outlineLevel="0" collapsed="false">
      <c r="A23" s="11" t="s">
        <v>327</v>
      </c>
      <c r="B23" s="12" t="n">
        <f aca="false">B21/(B5+B21)</f>
        <v>0.24390243902439</v>
      </c>
      <c r="C23" s="5" t="s">
        <v>220</v>
      </c>
      <c r="D23" s="6" t="s">
        <v>672</v>
      </c>
      <c r="E23" s="6" t="s">
        <v>673</v>
      </c>
      <c r="F23" s="7" t="s">
        <v>674</v>
      </c>
    </row>
    <row r="24" customFormat="false" ht="28" hidden="false" customHeight="true" outlineLevel="0" collapsed="false">
      <c r="A24" s="11" t="s">
        <v>675</v>
      </c>
      <c r="B24" s="12" t="n">
        <f aca="false">(B20/(B14/100))/(B6*B22)</f>
        <v>1.25</v>
      </c>
      <c r="C24" s="5" t="s">
        <v>167</v>
      </c>
      <c r="D24" s="6" t="s">
        <v>676</v>
      </c>
      <c r="E24" s="6" t="s">
        <v>677</v>
      </c>
      <c r="F24" s="7" t="s">
        <v>678</v>
      </c>
    </row>
    <row r="25" customFormat="false" ht="28" hidden="false" customHeight="true" outlineLevel="0" collapsed="false">
      <c r="A25" s="11" t="s">
        <v>679</v>
      </c>
      <c r="B25" s="12" t="n">
        <f aca="false">B24*(B11/100)</f>
        <v>0.4375</v>
      </c>
      <c r="C25" s="5" t="s">
        <v>233</v>
      </c>
      <c r="D25" s="6" t="s">
        <v>680</v>
      </c>
      <c r="E25" s="6" t="s">
        <v>681</v>
      </c>
      <c r="F25" s="7" t="s">
        <v>682</v>
      </c>
    </row>
    <row r="26" customFormat="false" ht="28" hidden="false" customHeight="true" outlineLevel="0" collapsed="false">
      <c r="A26" s="11" t="s">
        <v>683</v>
      </c>
      <c r="B26" s="12" t="n">
        <f aca="false">(B6*B22)/(B25*B10*1000)*1000000</f>
        <v>1246.75324675325</v>
      </c>
      <c r="C26" s="5" t="s">
        <v>238</v>
      </c>
      <c r="D26" s="6" t="s">
        <v>684</v>
      </c>
      <c r="E26" s="6" t="s">
        <v>685</v>
      </c>
      <c r="F26" s="7" t="s">
        <v>686</v>
      </c>
    </row>
    <row r="27" customFormat="false" ht="28" hidden="false" customHeight="true" outlineLevel="0" collapsed="false">
      <c r="A27" s="11" t="s">
        <v>687</v>
      </c>
      <c r="B27" s="12" t="n">
        <f aca="false">B24+(B25/2)</f>
        <v>1.46875</v>
      </c>
      <c r="C27" s="5" t="s">
        <v>167</v>
      </c>
      <c r="D27" s="6" t="s">
        <v>688</v>
      </c>
      <c r="E27" s="6" t="s">
        <v>689</v>
      </c>
      <c r="F27" s="7" t="s">
        <v>690</v>
      </c>
    </row>
    <row r="28" customFormat="false" ht="28" hidden="false" customHeight="true" outlineLevel="0" collapsed="false">
      <c r="A28" s="11" t="s">
        <v>691</v>
      </c>
      <c r="B28" s="12" t="n">
        <f aca="false">SQRT(B22*(B24^2 + (B25^2)/12))</f>
        <v>0.847040441460558</v>
      </c>
      <c r="C28" s="5" t="s">
        <v>247</v>
      </c>
      <c r="D28" s="6" t="s">
        <v>692</v>
      </c>
      <c r="E28" s="6" t="s">
        <v>693</v>
      </c>
      <c r="F28" s="7" t="s">
        <v>694</v>
      </c>
    </row>
    <row r="29" customFormat="false" ht="28" hidden="false" customHeight="true" outlineLevel="0" collapsed="false">
      <c r="A29" s="11" t="s">
        <v>695</v>
      </c>
      <c r="B29" s="12" t="n">
        <f aca="false">B15*SQRT((1-B22)*(B24^2 + (B25^2)/12))</f>
        <v>7.42309051051331</v>
      </c>
      <c r="C29" s="5" t="s">
        <v>247</v>
      </c>
      <c r="D29" s="6" t="s">
        <v>696</v>
      </c>
      <c r="E29" s="6" t="s">
        <v>697</v>
      </c>
      <c r="F29" s="7" t="s">
        <v>698</v>
      </c>
    </row>
    <row r="30" customFormat="false" ht="28" hidden="false" customHeight="true" outlineLevel="0" collapsed="false">
      <c r="A30" s="11" t="s">
        <v>699</v>
      </c>
      <c r="B30" s="12" t="n">
        <f aca="false">B7 + B21*1.25</f>
        <v>500</v>
      </c>
      <c r="C30" s="5" t="s">
        <v>150</v>
      </c>
      <c r="D30" s="6" t="s">
        <v>700</v>
      </c>
      <c r="E30" s="6" t="s">
        <v>701</v>
      </c>
      <c r="F30" s="7" t="s">
        <v>702</v>
      </c>
    </row>
    <row r="31" customFormat="false" ht="28" hidden="false" customHeight="true" outlineLevel="0" collapsed="false">
      <c r="A31" s="11" t="s">
        <v>703</v>
      </c>
      <c r="B31" s="12" t="n">
        <f aca="false">B8 + (B7/B15)</f>
        <v>58.875</v>
      </c>
      <c r="C31" s="5" t="s">
        <v>150</v>
      </c>
      <c r="D31" s="6" t="s">
        <v>704</v>
      </c>
      <c r="E31" s="6" t="s">
        <v>705</v>
      </c>
      <c r="F31" s="7" t="s">
        <v>706</v>
      </c>
    </row>
    <row r="32" customFormat="false" ht="28" hidden="false" customHeight="true" outlineLevel="0" collapsed="false">
      <c r="A32" s="11" t="s">
        <v>263</v>
      </c>
      <c r="B32" s="12" t="n">
        <f aca="false">SQRT((B29^2)-(B9^2))</f>
        <v>5.48655381157177</v>
      </c>
      <c r="C32" s="5" t="s">
        <v>247</v>
      </c>
      <c r="D32" s="6" t="s">
        <v>437</v>
      </c>
      <c r="E32" s="6" t="s">
        <v>438</v>
      </c>
      <c r="F32" s="7" t="s">
        <v>707</v>
      </c>
    </row>
    <row r="33" customFormat="false" ht="28" hidden="false" customHeight="true" outlineLevel="0" collapsed="false">
      <c r="A33" s="11" t="s">
        <v>271</v>
      </c>
      <c r="B33" s="12" t="n">
        <f aca="false">((B9*B22)/((B10*1000)*(B8*(B12/100))))*1000000</f>
        <v>189.393939393939</v>
      </c>
      <c r="C33" s="5" t="s">
        <v>272</v>
      </c>
      <c r="D33" s="6" t="s">
        <v>369</v>
      </c>
      <c r="E33" s="6" t="s">
        <v>370</v>
      </c>
      <c r="F33" s="7" t="s">
        <v>708</v>
      </c>
    </row>
    <row r="34" customFormat="false" ht="28" hidden="false" customHeight="true" outlineLevel="0" collapsed="false">
      <c r="A34" s="11" t="s">
        <v>709</v>
      </c>
      <c r="B34" s="12" t="n">
        <f aca="false">((B8*(B12/100))/(B27*B15))*1000</f>
        <v>10.2127659574468</v>
      </c>
      <c r="C34" s="5" t="s">
        <v>199</v>
      </c>
      <c r="D34" s="6" t="s">
        <v>710</v>
      </c>
      <c r="E34" s="6" t="s">
        <v>711</v>
      </c>
      <c r="F34" s="7" t="s">
        <v>712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713</v>
      </c>
      <c r="B36" s="12" t="n">
        <f aca="false">B26*0.02</f>
        <v>24.9350649350649</v>
      </c>
      <c r="C36" s="5" t="s">
        <v>238</v>
      </c>
      <c r="D36" s="6" t="s">
        <v>714</v>
      </c>
      <c r="E36" s="6" t="s">
        <v>715</v>
      </c>
      <c r="F36" s="7" t="s">
        <v>716</v>
      </c>
    </row>
    <row r="37" customFormat="false" ht="28" hidden="false" customHeight="true" outlineLevel="0" collapsed="false">
      <c r="A37" s="11" t="s">
        <v>717</v>
      </c>
      <c r="B37" s="12" t="n">
        <f aca="false">0.5*(B36/1000000)*(B27^2)*(B10*1000)*(1.35/(1.35-1))</f>
        <v>10.3738984230056</v>
      </c>
      <c r="C37" s="5" t="s">
        <v>215</v>
      </c>
      <c r="D37" s="6" t="s">
        <v>718</v>
      </c>
      <c r="E37" s="6" t="s">
        <v>719</v>
      </c>
      <c r="F37" s="7" t="s">
        <v>720</v>
      </c>
    </row>
    <row r="38" customFormat="false" ht="28" hidden="false" customHeight="true" outlineLevel="0" collapsed="false">
      <c r="A38" s="11" t="s">
        <v>721</v>
      </c>
      <c r="B38" s="12" t="n">
        <f aca="false">((1.35*B21)^2)/B37</f>
        <v>1756.81303757356</v>
      </c>
      <c r="C38" s="5" t="s">
        <v>722</v>
      </c>
      <c r="D38" s="6" t="s">
        <v>723</v>
      </c>
      <c r="E38" s="6" t="s">
        <v>724</v>
      </c>
      <c r="F38" s="7" t="s">
        <v>725</v>
      </c>
    </row>
    <row r="39" customFormat="false" ht="28" hidden="false" customHeight="true" outlineLevel="0" collapsed="false">
      <c r="A39" s="11" t="s">
        <v>726</v>
      </c>
      <c r="B39" s="12" t="n">
        <f aca="false">(((1-B22)^2)*(B8/B9)*(B15^2))/(2*3.14159265*B22*(B26/1000000))/1000</f>
        <v>12.8342546255957</v>
      </c>
      <c r="C39" s="5" t="s">
        <v>172</v>
      </c>
      <c r="D39" s="6" t="s">
        <v>727</v>
      </c>
      <c r="E39" s="6" t="s">
        <v>728</v>
      </c>
      <c r="F39" s="7" t="s">
        <v>729</v>
      </c>
    </row>
    <row r="40" customFormat="false" ht="28" hidden="false" customHeight="true" outlineLevel="0" collapsed="false">
      <c r="A40" s="11" t="s">
        <v>730</v>
      </c>
      <c r="B40" s="12" t="n">
        <f aca="false">(((B26/1000000)*B27*(B28 + B29/B15))/(0.3*B17*(B18*1000000)))*100000000</f>
        <v>0.859838770335105</v>
      </c>
      <c r="C40" s="5" t="s">
        <v>286</v>
      </c>
      <c r="D40" s="6" t="s">
        <v>731</v>
      </c>
      <c r="E40" s="6" t="s">
        <v>732</v>
      </c>
      <c r="F40" s="7" t="s">
        <v>733</v>
      </c>
    </row>
    <row r="41" customFormat="false" ht="28" hidden="false" customHeight="true" outlineLevel="0" collapsed="false">
      <c r="A41" s="11" t="s">
        <v>734</v>
      </c>
      <c r="B41" s="12" t="n">
        <f aca="false">(0.4*3.14159265*(B26/1000000)*(B27^2))/(1.2*(B17^2))*10</f>
        <v>0.3592434197262</v>
      </c>
      <c r="C41" s="5" t="s">
        <v>735</v>
      </c>
      <c r="D41" s="6" t="s">
        <v>736</v>
      </c>
      <c r="E41" s="6" t="s">
        <v>737</v>
      </c>
      <c r="F41" s="7" t="s">
        <v>738</v>
      </c>
    </row>
    <row r="42" customFormat="false" ht="28" hidden="false" customHeight="true" outlineLevel="0" collapsed="false">
      <c r="A42" s="11" t="s">
        <v>739</v>
      </c>
      <c r="B42" s="12" t="n">
        <f aca="false">(B28^2)*(B16/1000) + 0.5*(B5+B21)*B24*(30/1000000000)*(B10*1000)</f>
        <v>0.948119377367424</v>
      </c>
      <c r="C42" s="5" t="s">
        <v>215</v>
      </c>
      <c r="D42" s="6" t="s">
        <v>740</v>
      </c>
      <c r="E42" s="6" t="s">
        <v>741</v>
      </c>
      <c r="F42" s="7" t="s">
        <v>742</v>
      </c>
    </row>
    <row r="43" customFormat="false" ht="28" hidden="false" customHeight="true" outlineLevel="0" collapsed="false">
      <c r="A43" s="11" t="s">
        <v>743</v>
      </c>
      <c r="B43" s="12" t="n">
        <f aca="false">B9*B13</f>
        <v>2.5</v>
      </c>
      <c r="C43" s="5" t="s">
        <v>215</v>
      </c>
      <c r="D43" s="6" t="s">
        <v>460</v>
      </c>
      <c r="E43" s="6" t="s">
        <v>461</v>
      </c>
      <c r="F43" s="7" t="s">
        <v>744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8.18181818181819</v>
      </c>
      <c r="C44" s="5" t="s">
        <v>215</v>
      </c>
      <c r="D44" s="6" t="s">
        <v>311</v>
      </c>
      <c r="E44" s="6" t="s">
        <v>312</v>
      </c>
      <c r="F44" s="7" t="s">
        <v>548</v>
      </c>
    </row>
    <row r="45" customFormat="false" ht="28" hidden="false" customHeight="true" outlineLevel="0" collapsed="false">
      <c r="A45" s="11" t="s">
        <v>745</v>
      </c>
      <c r="B45" s="12" t="n">
        <f aca="false">B29/B28</f>
        <v>8.76356092008266</v>
      </c>
      <c r="C45" s="5" t="s">
        <v>194</v>
      </c>
      <c r="D45" s="6" t="s">
        <v>746</v>
      </c>
      <c r="E45" s="6" t="s">
        <v>747</v>
      </c>
      <c r="F45" s="7" t="s">
        <v>748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749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750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310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180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380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24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6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35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91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5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180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0.28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144</v>
      </c>
      <c r="C20" s="5" t="s">
        <v>215</v>
      </c>
      <c r="D20" s="6" t="s">
        <v>216</v>
      </c>
      <c r="E20" s="6" t="s">
        <v>217</v>
      </c>
      <c r="F20" s="7" t="s">
        <v>751</v>
      </c>
    </row>
    <row r="21" customFormat="false" ht="28" hidden="false" customHeight="true" outlineLevel="0" collapsed="false">
      <c r="A21" s="11" t="s">
        <v>752</v>
      </c>
      <c r="B21" s="12" t="n">
        <f aca="false">B15*(B8+B13)</f>
        <v>122.5</v>
      </c>
      <c r="C21" s="5" t="s">
        <v>150</v>
      </c>
      <c r="D21" s="6" t="s">
        <v>753</v>
      </c>
      <c r="E21" s="6" t="s">
        <v>754</v>
      </c>
      <c r="F21" s="7" t="s">
        <v>755</v>
      </c>
    </row>
    <row r="22" customFormat="false" ht="28" hidden="false" customHeight="true" outlineLevel="0" collapsed="false">
      <c r="A22" s="11" t="s">
        <v>756</v>
      </c>
      <c r="B22" s="12" t="n">
        <f aca="false">B21/(B6+B21)</f>
        <v>0.40495867768595</v>
      </c>
      <c r="C22" s="5" t="s">
        <v>757</v>
      </c>
      <c r="D22" s="6" t="s">
        <v>758</v>
      </c>
      <c r="E22" s="6" t="s">
        <v>759</v>
      </c>
      <c r="F22" s="7" t="s">
        <v>760</v>
      </c>
    </row>
    <row r="23" customFormat="false" ht="28" hidden="false" customHeight="true" outlineLevel="0" collapsed="false">
      <c r="A23" s="11" t="s">
        <v>327</v>
      </c>
      <c r="B23" s="12" t="n">
        <f aca="false">B21/(B5+B21)</f>
        <v>0.283236994219653</v>
      </c>
      <c r="C23" s="5" t="s">
        <v>194</v>
      </c>
      <c r="D23" s="6" t="s">
        <v>672</v>
      </c>
      <c r="E23" s="6" t="s">
        <v>673</v>
      </c>
      <c r="F23" s="7" t="s">
        <v>761</v>
      </c>
    </row>
    <row r="24" customFormat="false" ht="28" hidden="false" customHeight="true" outlineLevel="0" collapsed="false">
      <c r="A24" s="11" t="s">
        <v>762</v>
      </c>
      <c r="B24" s="12" t="n">
        <f aca="false">(B20/(B14/100))/(B6*B22)</f>
        <v>2.17089033415564</v>
      </c>
      <c r="C24" s="5" t="s">
        <v>167</v>
      </c>
      <c r="D24" s="6" t="s">
        <v>676</v>
      </c>
      <c r="E24" s="6" t="s">
        <v>677</v>
      </c>
      <c r="F24" s="7" t="s">
        <v>763</v>
      </c>
    </row>
    <row r="25" customFormat="false" ht="28" hidden="false" customHeight="true" outlineLevel="0" collapsed="false">
      <c r="A25" s="11" t="s">
        <v>679</v>
      </c>
      <c r="B25" s="12" t="n">
        <f aca="false">B24*(B11/100)</f>
        <v>0.759811616954474</v>
      </c>
      <c r="C25" s="5" t="s">
        <v>233</v>
      </c>
      <c r="D25" s="6" t="s">
        <v>680</v>
      </c>
      <c r="E25" s="6" t="s">
        <v>681</v>
      </c>
      <c r="F25" s="7" t="s">
        <v>764</v>
      </c>
    </row>
    <row r="26" customFormat="false" ht="28" hidden="false" customHeight="true" outlineLevel="0" collapsed="false">
      <c r="A26" s="11" t="s">
        <v>683</v>
      </c>
      <c r="B26" s="12" t="n">
        <f aca="false">(B6*B22)/(B25*B10*1000)*1000000</f>
        <v>959.350454203948</v>
      </c>
      <c r="C26" s="5" t="s">
        <v>238</v>
      </c>
      <c r="D26" s="6" t="s">
        <v>684</v>
      </c>
      <c r="E26" s="6" t="s">
        <v>685</v>
      </c>
      <c r="F26" s="7" t="s">
        <v>765</v>
      </c>
    </row>
    <row r="27" customFormat="false" ht="28" hidden="false" customHeight="true" outlineLevel="0" collapsed="false">
      <c r="A27" s="11" t="s">
        <v>766</v>
      </c>
      <c r="B27" s="12" t="n">
        <f aca="false">B24+(B25/2)</f>
        <v>2.55079614263288</v>
      </c>
      <c r="C27" s="5" t="s">
        <v>167</v>
      </c>
      <c r="D27" s="6" t="s">
        <v>688</v>
      </c>
      <c r="E27" s="6" t="s">
        <v>689</v>
      </c>
      <c r="F27" s="7" t="s">
        <v>767</v>
      </c>
    </row>
    <row r="28" customFormat="false" ht="28" hidden="false" customHeight="true" outlineLevel="0" collapsed="false">
      <c r="A28" s="11" t="s">
        <v>768</v>
      </c>
      <c r="B28" s="12" t="n">
        <f aca="false">SQRT(B22*(B24^2 + (B25^2)/12))</f>
        <v>1.38850904505178</v>
      </c>
      <c r="C28" s="5" t="s">
        <v>247</v>
      </c>
      <c r="D28" s="6" t="s">
        <v>692</v>
      </c>
      <c r="E28" s="6" t="s">
        <v>693</v>
      </c>
      <c r="F28" s="7" t="s">
        <v>769</v>
      </c>
    </row>
    <row r="29" customFormat="false" ht="28" hidden="false" customHeight="true" outlineLevel="0" collapsed="false">
      <c r="A29" s="11" t="s">
        <v>770</v>
      </c>
      <c r="B29" s="12" t="n">
        <f aca="false">B7</f>
        <v>380</v>
      </c>
      <c r="C29" s="5" t="s">
        <v>150</v>
      </c>
      <c r="D29" s="6" t="s">
        <v>771</v>
      </c>
      <c r="E29" s="6" t="s">
        <v>772</v>
      </c>
      <c r="F29" s="7" t="s">
        <v>773</v>
      </c>
    </row>
    <row r="30" customFormat="false" ht="28" hidden="false" customHeight="true" outlineLevel="0" collapsed="false">
      <c r="A30" s="11" t="s">
        <v>774</v>
      </c>
      <c r="B30" s="12" t="n">
        <f aca="false">B15*SQRT((1-B22)*(B24^2 + (B25^2)/12))</f>
        <v>8.41563566995689</v>
      </c>
      <c r="C30" s="5" t="s">
        <v>247</v>
      </c>
      <c r="D30" s="6" t="s">
        <v>696</v>
      </c>
      <c r="E30" s="6" t="s">
        <v>697</v>
      </c>
      <c r="F30" s="7" t="s">
        <v>775</v>
      </c>
    </row>
    <row r="31" customFormat="false" ht="28" hidden="false" customHeight="true" outlineLevel="0" collapsed="false">
      <c r="A31" s="11" t="s">
        <v>703</v>
      </c>
      <c r="B31" s="12" t="n">
        <f aca="false">B8+(B7/B15)</f>
        <v>100</v>
      </c>
      <c r="C31" s="5" t="s">
        <v>150</v>
      </c>
      <c r="D31" s="6" t="s">
        <v>704</v>
      </c>
      <c r="E31" s="6" t="s">
        <v>705</v>
      </c>
      <c r="F31" s="7" t="s">
        <v>776</v>
      </c>
    </row>
    <row r="32" customFormat="false" ht="28" hidden="false" customHeight="true" outlineLevel="0" collapsed="false">
      <c r="A32" s="11" t="s">
        <v>263</v>
      </c>
      <c r="B32" s="12" t="n">
        <f aca="false">SQRT((B30^2)-(B9^2))</f>
        <v>5.90109512967303</v>
      </c>
      <c r="C32" s="5" t="s">
        <v>247</v>
      </c>
      <c r="D32" s="6" t="s">
        <v>437</v>
      </c>
      <c r="E32" s="6" t="s">
        <v>438</v>
      </c>
      <c r="F32" s="7" t="s">
        <v>777</v>
      </c>
    </row>
    <row r="33" customFormat="false" ht="28" hidden="false" customHeight="true" outlineLevel="0" collapsed="false">
      <c r="A33" s="11" t="s">
        <v>271</v>
      </c>
      <c r="B33" s="12" t="n">
        <f aca="false">((B9*B22)/((B10*1000)*(B8*(B12/100))))*1000000</f>
        <v>101.239669421488</v>
      </c>
      <c r="C33" s="5" t="s">
        <v>272</v>
      </c>
      <c r="D33" s="6" t="s">
        <v>369</v>
      </c>
      <c r="E33" s="6" t="s">
        <v>370</v>
      </c>
      <c r="F33" s="7" t="s">
        <v>778</v>
      </c>
    </row>
    <row r="34" customFormat="false" ht="28" hidden="false" customHeight="true" outlineLevel="0" collapsed="false">
      <c r="A34" s="11" t="s">
        <v>709</v>
      </c>
      <c r="B34" s="12" t="n">
        <f aca="false">((B8*(B12/100))/(B27*B15))*1000</f>
        <v>18.8176542992791</v>
      </c>
      <c r="C34" s="5" t="s">
        <v>199</v>
      </c>
      <c r="D34" s="6" t="s">
        <v>710</v>
      </c>
      <c r="E34" s="6" t="s">
        <v>711</v>
      </c>
      <c r="F34" s="7" t="s">
        <v>779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780</v>
      </c>
      <c r="B36" s="12" t="n">
        <f aca="false">0.5*(B26*0.02/1000000)*(B27^2)*(B10*1000)</f>
        <v>6.24207221350079</v>
      </c>
      <c r="C36" s="5" t="s">
        <v>215</v>
      </c>
      <c r="D36" s="6" t="s">
        <v>781</v>
      </c>
      <c r="E36" s="6" t="s">
        <v>782</v>
      </c>
      <c r="F36" s="7" t="s">
        <v>783</v>
      </c>
    </row>
    <row r="37" customFormat="false" ht="28" hidden="false" customHeight="true" outlineLevel="0" collapsed="false">
      <c r="A37" s="11" t="s">
        <v>784</v>
      </c>
      <c r="B37" s="12" t="n">
        <f aca="false">((B26*0.02/1000000)*B27)/(B6-B21)*1000000000</f>
        <v>851.167804527488</v>
      </c>
      <c r="C37" s="5" t="s">
        <v>785</v>
      </c>
      <c r="D37" s="6" t="s">
        <v>786</v>
      </c>
      <c r="E37" s="6" t="s">
        <v>787</v>
      </c>
      <c r="F37" s="7" t="s">
        <v>788</v>
      </c>
    </row>
    <row r="38" customFormat="false" ht="28" hidden="false" customHeight="true" outlineLevel="0" collapsed="false">
      <c r="A38" s="11" t="s">
        <v>789</v>
      </c>
      <c r="B38" s="12" t="n">
        <f aca="false">0.5*B27*(B37/1000000000)*(B10*1000)</f>
        <v>0.108557777626101</v>
      </c>
      <c r="C38" s="5" t="s">
        <v>167</v>
      </c>
      <c r="D38" s="6" t="s">
        <v>790</v>
      </c>
      <c r="E38" s="6" t="s">
        <v>791</v>
      </c>
      <c r="F38" s="7" t="s">
        <v>792</v>
      </c>
    </row>
    <row r="39" customFormat="false" ht="28" hidden="false" customHeight="true" outlineLevel="0" collapsed="false">
      <c r="A39" s="11" t="s">
        <v>726</v>
      </c>
      <c r="B39" s="12" t="n">
        <f aca="false">(((1-B22)^2)*(B8/B9)*(B15^2))/(2*3.14159265*B22*(B26/1000000))/1000</f>
        <v>14.5052891049553</v>
      </c>
      <c r="C39" s="5" t="s">
        <v>172</v>
      </c>
      <c r="D39" s="6" t="s">
        <v>727</v>
      </c>
      <c r="E39" s="6" t="s">
        <v>728</v>
      </c>
      <c r="F39" s="7" t="s">
        <v>793</v>
      </c>
    </row>
    <row r="40" customFormat="false" ht="28" hidden="false" customHeight="true" outlineLevel="0" collapsed="false">
      <c r="A40" s="11" t="s">
        <v>730</v>
      </c>
      <c r="B40" s="12" t="n">
        <f aca="false">(((B26/1000000)*B27*(B28 + B30/B15))/(0.3*B17*(B18*1000000)))*100000000</f>
        <v>1.98852479910507</v>
      </c>
      <c r="C40" s="5" t="s">
        <v>286</v>
      </c>
      <c r="D40" s="6" t="s">
        <v>731</v>
      </c>
      <c r="E40" s="6" t="s">
        <v>732</v>
      </c>
      <c r="F40" s="7" t="s">
        <v>794</v>
      </c>
    </row>
    <row r="41" customFormat="false" ht="28" hidden="false" customHeight="true" outlineLevel="0" collapsed="false">
      <c r="A41" s="11" t="s">
        <v>795</v>
      </c>
      <c r="B41" s="12" t="n">
        <f aca="false">2*(B28^2)*(B16/1000)</f>
        <v>0.694064652548618</v>
      </c>
      <c r="C41" s="5" t="s">
        <v>215</v>
      </c>
      <c r="D41" s="6" t="s">
        <v>796</v>
      </c>
      <c r="E41" s="6" t="s">
        <v>797</v>
      </c>
      <c r="F41" s="7" t="s">
        <v>798</v>
      </c>
    </row>
    <row r="42" customFormat="false" ht="28" hidden="false" customHeight="true" outlineLevel="0" collapsed="false">
      <c r="A42" s="11" t="s">
        <v>799</v>
      </c>
      <c r="B42" s="12" t="n">
        <f aca="false">2*0.5*(B5/2)*B24*(25/1000000000)*(B10*1000)</f>
        <v>0.841220004485311</v>
      </c>
      <c r="C42" s="5" t="s">
        <v>215</v>
      </c>
      <c r="D42" s="6" t="s">
        <v>800</v>
      </c>
      <c r="E42" s="6" t="s">
        <v>801</v>
      </c>
      <c r="F42" s="7" t="s">
        <v>802</v>
      </c>
    </row>
    <row r="43" customFormat="false" ht="28" hidden="false" customHeight="true" outlineLevel="0" collapsed="false">
      <c r="A43" s="11" t="s">
        <v>803</v>
      </c>
      <c r="B43" s="12" t="n">
        <f aca="false">B9*B13</f>
        <v>3</v>
      </c>
      <c r="C43" s="5" t="s">
        <v>215</v>
      </c>
      <c r="D43" s="6" t="s">
        <v>460</v>
      </c>
      <c r="E43" s="6" t="s">
        <v>461</v>
      </c>
      <c r="F43" s="7" t="s">
        <v>804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14.2417582417583</v>
      </c>
      <c r="C44" s="5" t="s">
        <v>215</v>
      </c>
      <c r="D44" s="6" t="s">
        <v>311</v>
      </c>
      <c r="E44" s="6" t="s">
        <v>312</v>
      </c>
      <c r="F44" s="7" t="s">
        <v>548</v>
      </c>
    </row>
    <row r="45" customFormat="false" ht="28" hidden="false" customHeight="true" outlineLevel="0" collapsed="false">
      <c r="A45" s="11" t="s">
        <v>805</v>
      </c>
      <c r="B45" s="12" t="n">
        <f aca="false">B28/B18</f>
        <v>0.308557565567062</v>
      </c>
      <c r="C45" s="5" t="s">
        <v>320</v>
      </c>
      <c r="D45" s="6" t="s">
        <v>806</v>
      </c>
      <c r="E45" s="6" t="s">
        <v>807</v>
      </c>
      <c r="F45" s="7" t="s">
        <v>808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809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810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48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36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72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15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200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0.4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93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2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25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180</v>
      </c>
      <c r="C20" s="5" t="s">
        <v>215</v>
      </c>
      <c r="D20" s="6" t="s">
        <v>216</v>
      </c>
      <c r="E20" s="6" t="s">
        <v>217</v>
      </c>
      <c r="F20" s="7" t="s">
        <v>811</v>
      </c>
    </row>
    <row r="21" customFormat="false" ht="28" hidden="false" customHeight="true" outlineLevel="0" collapsed="false">
      <c r="A21" s="11" t="s">
        <v>327</v>
      </c>
      <c r="B21" s="12" t="n">
        <f aca="false">B15*(B8+B13)/B5</f>
        <v>0.516666666666667</v>
      </c>
      <c r="C21" s="5" t="s">
        <v>220</v>
      </c>
      <c r="D21" s="6" t="s">
        <v>812</v>
      </c>
      <c r="E21" s="6" t="s">
        <v>813</v>
      </c>
      <c r="F21" s="7" t="s">
        <v>814</v>
      </c>
    </row>
    <row r="22" customFormat="false" ht="28" hidden="false" customHeight="true" outlineLevel="0" collapsed="false">
      <c r="A22" s="11" t="s">
        <v>224</v>
      </c>
      <c r="B22" s="12" t="n">
        <f aca="false">B15*(B8+B13)/B6</f>
        <v>0.688888888888889</v>
      </c>
      <c r="C22" s="5" t="s">
        <v>220</v>
      </c>
      <c r="D22" s="6" t="s">
        <v>815</v>
      </c>
      <c r="E22" s="6" t="s">
        <v>816</v>
      </c>
      <c r="F22" s="7" t="s">
        <v>817</v>
      </c>
    </row>
    <row r="23" customFormat="false" ht="28" hidden="false" customHeight="true" outlineLevel="0" collapsed="false">
      <c r="A23" s="11" t="s">
        <v>228</v>
      </c>
      <c r="B23" s="12" t="n">
        <f aca="false">B15*(B8+B13)/B7</f>
        <v>0.344444444444444</v>
      </c>
      <c r="C23" s="5" t="s">
        <v>220</v>
      </c>
      <c r="D23" s="6" t="s">
        <v>818</v>
      </c>
      <c r="E23" s="6" t="s">
        <v>819</v>
      </c>
      <c r="F23" s="7" t="s">
        <v>336</v>
      </c>
    </row>
    <row r="24" customFormat="false" ht="28" hidden="false" customHeight="true" outlineLevel="0" collapsed="false">
      <c r="A24" s="11" t="s">
        <v>820</v>
      </c>
      <c r="B24" s="12" t="n">
        <f aca="false">B9*(B11/100)</f>
        <v>3.75</v>
      </c>
      <c r="C24" s="5" t="s">
        <v>233</v>
      </c>
      <c r="D24" s="6" t="s">
        <v>234</v>
      </c>
      <c r="E24" s="6" t="s">
        <v>235</v>
      </c>
      <c r="F24" s="7" t="s">
        <v>821</v>
      </c>
    </row>
    <row r="25" customFormat="false" ht="28" hidden="false" customHeight="true" outlineLevel="0" collapsed="false">
      <c r="A25" s="11" t="s">
        <v>822</v>
      </c>
      <c r="B25" s="12" t="n">
        <f aca="false">(((B7/B15)-B8-B13)*B23)/(B24*B10*1000)*1000000</f>
        <v>10.8385185185185</v>
      </c>
      <c r="C25" s="5" t="s">
        <v>238</v>
      </c>
      <c r="D25" s="6" t="s">
        <v>823</v>
      </c>
      <c r="E25" s="6" t="s">
        <v>824</v>
      </c>
      <c r="F25" s="7" t="s">
        <v>825</v>
      </c>
    </row>
    <row r="26" customFormat="false" ht="28" hidden="false" customHeight="true" outlineLevel="0" collapsed="false">
      <c r="A26" s="11" t="s">
        <v>826</v>
      </c>
      <c r="B26" s="12" t="n">
        <f aca="false">B6*(B22/(1-B22))</f>
        <v>79.7142857142857</v>
      </c>
      <c r="C26" s="5" t="s">
        <v>150</v>
      </c>
      <c r="D26" s="6" t="s">
        <v>827</v>
      </c>
      <c r="E26" s="6" t="s">
        <v>828</v>
      </c>
      <c r="F26" s="7" t="s">
        <v>829</v>
      </c>
    </row>
    <row r="27" customFormat="false" ht="28" hidden="false" customHeight="true" outlineLevel="0" collapsed="false">
      <c r="A27" s="11" t="s">
        <v>830</v>
      </c>
      <c r="B27" s="12" t="n">
        <f aca="false">B6/(1-B22)</f>
        <v>115.714285714286</v>
      </c>
      <c r="C27" s="5" t="s">
        <v>150</v>
      </c>
      <c r="D27" s="6" t="s">
        <v>831</v>
      </c>
      <c r="E27" s="6" t="s">
        <v>832</v>
      </c>
      <c r="F27" s="7" t="s">
        <v>833</v>
      </c>
    </row>
    <row r="28" customFormat="false" ht="28" hidden="false" customHeight="true" outlineLevel="0" collapsed="false">
      <c r="A28" s="11" t="s">
        <v>834</v>
      </c>
      <c r="B28" s="12" t="n">
        <f aca="false">(B9/B15)*SQRT(B22)</f>
        <v>6.22494979899437</v>
      </c>
      <c r="C28" s="5" t="s">
        <v>247</v>
      </c>
      <c r="D28" s="6" t="s">
        <v>835</v>
      </c>
      <c r="E28" s="6" t="s">
        <v>836</v>
      </c>
      <c r="F28" s="7" t="s">
        <v>837</v>
      </c>
    </row>
    <row r="29" customFormat="false" ht="28" hidden="false" customHeight="true" outlineLevel="0" collapsed="false">
      <c r="A29" s="11" t="s">
        <v>838</v>
      </c>
      <c r="B29" s="12" t="n">
        <f aca="false">B9*SQRT(B22)</f>
        <v>12.4498995979887</v>
      </c>
      <c r="C29" s="5" t="s">
        <v>247</v>
      </c>
      <c r="D29" s="6" t="s">
        <v>839</v>
      </c>
      <c r="E29" s="6" t="s">
        <v>840</v>
      </c>
      <c r="F29" s="7" t="s">
        <v>841</v>
      </c>
    </row>
    <row r="30" customFormat="false" ht="28" hidden="false" customHeight="true" outlineLevel="0" collapsed="false">
      <c r="A30" s="11" t="s">
        <v>842</v>
      </c>
      <c r="B30" s="12" t="n">
        <f aca="false">B9*SQRT(1-B23)</f>
        <v>12.1449578014911</v>
      </c>
      <c r="C30" s="5" t="s">
        <v>247</v>
      </c>
      <c r="D30" s="6" t="s">
        <v>843</v>
      </c>
      <c r="E30" s="6" t="s">
        <v>844</v>
      </c>
      <c r="F30" s="7" t="s">
        <v>845</v>
      </c>
    </row>
    <row r="31" customFormat="false" ht="28" hidden="false" customHeight="true" outlineLevel="0" collapsed="false">
      <c r="A31" s="11" t="s">
        <v>846</v>
      </c>
      <c r="B31" s="12" t="n">
        <f aca="false">B7/(B15*(1-B23))</f>
        <v>54.9152542372881</v>
      </c>
      <c r="C31" s="5" t="s">
        <v>150</v>
      </c>
      <c r="D31" s="6" t="s">
        <v>847</v>
      </c>
      <c r="E31" s="6" t="s">
        <v>848</v>
      </c>
      <c r="F31" s="7" t="s">
        <v>849</v>
      </c>
    </row>
    <row r="32" customFormat="false" ht="28" hidden="false" customHeight="true" outlineLevel="0" collapsed="false">
      <c r="A32" s="11" t="s">
        <v>263</v>
      </c>
      <c r="B32" s="12" t="n">
        <f aca="false">B24/SQRT(12)</f>
        <v>1.08253175473055</v>
      </c>
      <c r="C32" s="5" t="s">
        <v>247</v>
      </c>
      <c r="D32" s="6" t="s">
        <v>850</v>
      </c>
      <c r="E32" s="6" t="s">
        <v>851</v>
      </c>
      <c r="F32" s="7" t="s">
        <v>852</v>
      </c>
    </row>
    <row r="33" customFormat="false" ht="28" hidden="false" customHeight="true" outlineLevel="0" collapsed="false">
      <c r="A33" s="11" t="s">
        <v>271</v>
      </c>
      <c r="B33" s="12" t="n">
        <f aca="false">(B24/(8*(B10*1000)*(B8*(B12/100))))*1000000</f>
        <v>19.53125</v>
      </c>
      <c r="C33" s="5" t="s">
        <v>272</v>
      </c>
      <c r="D33" s="6" t="s">
        <v>853</v>
      </c>
      <c r="E33" s="6" t="s">
        <v>854</v>
      </c>
      <c r="F33" s="7" t="s">
        <v>855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32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859</v>
      </c>
      <c r="B36" s="12" t="n">
        <f aca="false">(B6*B22)/(0.2*(B9/B15)*B10*1000)*1000000</f>
        <v>82.6666666666667</v>
      </c>
      <c r="C36" s="5" t="s">
        <v>238</v>
      </c>
      <c r="D36" s="6" t="s">
        <v>684</v>
      </c>
      <c r="E36" s="6" t="s">
        <v>685</v>
      </c>
      <c r="F36" s="7" t="s">
        <v>860</v>
      </c>
    </row>
    <row r="37" customFormat="false" ht="28" hidden="false" customHeight="true" outlineLevel="0" collapsed="false">
      <c r="A37" s="11" t="s">
        <v>861</v>
      </c>
      <c r="B37" s="12" t="n">
        <f aca="false">(((1-B23)^2)/((2*3.14159265*(B10*1000))^2*(B36/1000000)))*1000000*4</f>
        <v>0.0131682736359398</v>
      </c>
      <c r="C37" s="5" t="s">
        <v>272</v>
      </c>
      <c r="D37" s="6" t="s">
        <v>862</v>
      </c>
      <c r="E37" s="6" t="s">
        <v>863</v>
      </c>
      <c r="F37" s="7" t="s">
        <v>864</v>
      </c>
    </row>
    <row r="38" customFormat="false" ht="28" hidden="false" customHeight="true" outlineLevel="0" collapsed="false">
      <c r="A38" s="11" t="s">
        <v>865</v>
      </c>
      <c r="B38" s="12" t="n">
        <f aca="false">(0.2*(B9/B15))*SQRT((1-B22)/3)</f>
        <v>0.483045891539648</v>
      </c>
      <c r="C38" s="5" t="s">
        <v>247</v>
      </c>
      <c r="D38" s="6" t="s">
        <v>866</v>
      </c>
      <c r="E38" s="6" t="s">
        <v>867</v>
      </c>
      <c r="F38" s="7" t="s">
        <v>868</v>
      </c>
    </row>
    <row r="39" customFormat="false" ht="28" hidden="false" customHeight="true" outlineLevel="0" collapsed="false">
      <c r="A39" s="11" t="s">
        <v>869</v>
      </c>
      <c r="B39" s="12" t="n">
        <f aca="false">1/(2*3.14159265*SQRT((B25/1000000)*(B33/1000000)))/1000</f>
        <v>10.9388118047696</v>
      </c>
      <c r="C39" s="5" t="s">
        <v>172</v>
      </c>
      <c r="D39" s="6" t="s">
        <v>870</v>
      </c>
      <c r="E39" s="6" t="s">
        <v>871</v>
      </c>
      <c r="F39" s="7" t="s">
        <v>872</v>
      </c>
    </row>
    <row r="40" customFormat="false" ht="28" hidden="false" customHeight="true" outlineLevel="0" collapsed="false">
      <c r="A40" s="11" t="s">
        <v>873</v>
      </c>
      <c r="B40" s="12" t="n">
        <f aca="false">(B20/(0.3*(2*B17)*(B18*1000000)*(B10*1000)))*100000000</f>
        <v>0.133333333333333</v>
      </c>
      <c r="C40" s="5" t="s">
        <v>286</v>
      </c>
      <c r="D40" s="6" t="s">
        <v>874</v>
      </c>
      <c r="E40" s="6" t="s">
        <v>875</v>
      </c>
      <c r="F40" s="7" t="s">
        <v>876</v>
      </c>
    </row>
    <row r="41" customFormat="false" ht="28" hidden="false" customHeight="true" outlineLevel="0" collapsed="false">
      <c r="A41" s="11" t="s">
        <v>877</v>
      </c>
      <c r="B41" s="12" t="n">
        <f aca="false">(((B25/1000000)*(B9+B24/2)*B9)/(0.35*B17*(B18*1000000)))*100000000</f>
        <v>0.696761904761905</v>
      </c>
      <c r="C41" s="5" t="s">
        <v>286</v>
      </c>
      <c r="D41" s="6" t="s">
        <v>878</v>
      </c>
      <c r="E41" s="6" t="s">
        <v>879</v>
      </c>
      <c r="F41" s="7" t="s">
        <v>880</v>
      </c>
    </row>
    <row r="42" customFormat="false" ht="28" hidden="false" customHeight="true" outlineLevel="0" collapsed="false">
      <c r="A42" s="11" t="s">
        <v>881</v>
      </c>
      <c r="B42" s="12" t="n">
        <f aca="false">(B28^2)*(B16/1000)</f>
        <v>0.96875</v>
      </c>
      <c r="C42" s="5" t="s">
        <v>215</v>
      </c>
      <c r="D42" s="6" t="s">
        <v>882</v>
      </c>
      <c r="E42" s="6" t="s">
        <v>883</v>
      </c>
      <c r="F42" s="7" t="s">
        <v>884</v>
      </c>
    </row>
    <row r="43" customFormat="false" ht="28" hidden="false" customHeight="true" outlineLevel="0" collapsed="false">
      <c r="A43" s="11" t="s">
        <v>885</v>
      </c>
      <c r="B43" s="12" t="n">
        <f aca="false">B9*B13</f>
        <v>6</v>
      </c>
      <c r="C43" s="5" t="s">
        <v>215</v>
      </c>
      <c r="D43" s="6" t="s">
        <v>886</v>
      </c>
      <c r="E43" s="6" t="s">
        <v>887</v>
      </c>
      <c r="F43" s="7" t="s">
        <v>888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13.5483870967742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889</v>
      </c>
      <c r="B45" s="12" t="n">
        <f aca="false">B9/B18</f>
        <v>3.33333333333333</v>
      </c>
      <c r="C45" s="5" t="s">
        <v>320</v>
      </c>
      <c r="D45" s="6" t="s">
        <v>890</v>
      </c>
      <c r="E45" s="6" t="s">
        <v>891</v>
      </c>
      <c r="F45" s="7" t="s">
        <v>892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893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894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48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36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72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12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10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150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0.45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90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1.35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35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120</v>
      </c>
      <c r="C20" s="5" t="s">
        <v>215</v>
      </c>
      <c r="D20" s="6" t="s">
        <v>216</v>
      </c>
      <c r="E20" s="6" t="s">
        <v>217</v>
      </c>
      <c r="F20" s="7" t="s">
        <v>895</v>
      </c>
    </row>
    <row r="21" customFormat="false" ht="28" hidden="false" customHeight="true" outlineLevel="0" collapsed="false">
      <c r="A21" s="11" t="s">
        <v>327</v>
      </c>
      <c r="B21" s="12" t="n">
        <f aca="false">B15*(B8+B13)/B5</f>
        <v>0.35015625</v>
      </c>
      <c r="C21" s="5" t="s">
        <v>194</v>
      </c>
      <c r="D21" s="6" t="s">
        <v>812</v>
      </c>
      <c r="E21" s="6" t="s">
        <v>813</v>
      </c>
      <c r="F21" s="7" t="s">
        <v>896</v>
      </c>
    </row>
    <row r="22" customFormat="false" ht="28" hidden="false" customHeight="true" outlineLevel="0" collapsed="false">
      <c r="A22" s="11" t="s">
        <v>756</v>
      </c>
      <c r="B22" s="12" t="n">
        <f aca="false">B15*(B8+B13)/B6</f>
        <v>0.466875</v>
      </c>
      <c r="C22" s="5" t="s">
        <v>757</v>
      </c>
      <c r="D22" s="6" t="s">
        <v>897</v>
      </c>
      <c r="E22" s="6" t="s">
        <v>898</v>
      </c>
      <c r="F22" s="7" t="s">
        <v>899</v>
      </c>
    </row>
    <row r="23" customFormat="false" ht="28" hidden="false" customHeight="true" outlineLevel="0" collapsed="false">
      <c r="A23" s="11" t="s">
        <v>228</v>
      </c>
      <c r="B23" s="12" t="n">
        <f aca="false">B15*(B8+B13)/B7</f>
        <v>0.2334375</v>
      </c>
      <c r="C23" s="5" t="s">
        <v>194</v>
      </c>
      <c r="D23" s="6" t="s">
        <v>818</v>
      </c>
      <c r="E23" s="6" t="s">
        <v>819</v>
      </c>
      <c r="F23" s="7" t="s">
        <v>336</v>
      </c>
    </row>
    <row r="24" customFormat="false" ht="28" hidden="false" customHeight="true" outlineLevel="0" collapsed="false">
      <c r="A24" s="11" t="s">
        <v>820</v>
      </c>
      <c r="B24" s="12" t="n">
        <f aca="false">B9*(B11/100)</f>
        <v>2.5</v>
      </c>
      <c r="C24" s="5" t="s">
        <v>233</v>
      </c>
      <c r="D24" s="6" t="s">
        <v>234</v>
      </c>
      <c r="E24" s="6" t="s">
        <v>235</v>
      </c>
      <c r="F24" s="7" t="s">
        <v>900</v>
      </c>
    </row>
    <row r="25" customFormat="false" ht="28" hidden="false" customHeight="true" outlineLevel="0" collapsed="false">
      <c r="A25" s="11" t="s">
        <v>822</v>
      </c>
      <c r="B25" s="12" t="n">
        <f aca="false">(((B7/B15)-B8-B13)*B23)/(B24*B10*1000)*1000000</f>
        <v>25.449875</v>
      </c>
      <c r="C25" s="5" t="s">
        <v>238</v>
      </c>
      <c r="D25" s="6" t="s">
        <v>823</v>
      </c>
      <c r="E25" s="6" t="s">
        <v>824</v>
      </c>
      <c r="F25" s="7" t="s">
        <v>901</v>
      </c>
    </row>
    <row r="26" customFormat="false" ht="28" hidden="false" customHeight="true" outlineLevel="0" collapsed="false">
      <c r="A26" s="11" t="s">
        <v>902</v>
      </c>
      <c r="B26" s="12" t="n">
        <f aca="false">2*B7</f>
        <v>144</v>
      </c>
      <c r="C26" s="5" t="s">
        <v>150</v>
      </c>
      <c r="D26" s="6" t="s">
        <v>903</v>
      </c>
      <c r="E26" s="6" t="s">
        <v>904</v>
      </c>
      <c r="F26" s="7" t="s">
        <v>905</v>
      </c>
    </row>
    <row r="27" customFormat="false" ht="28" hidden="false" customHeight="true" outlineLevel="0" collapsed="false">
      <c r="A27" s="11" t="s">
        <v>687</v>
      </c>
      <c r="B27" s="12" t="n">
        <f aca="false">((B9 + B24/2)/B15)*1.1</f>
        <v>9.16666666666667</v>
      </c>
      <c r="C27" s="5" t="s">
        <v>167</v>
      </c>
      <c r="D27" s="6" t="s">
        <v>906</v>
      </c>
      <c r="E27" s="6" t="s">
        <v>907</v>
      </c>
      <c r="F27" s="7" t="s">
        <v>908</v>
      </c>
    </row>
    <row r="28" customFormat="false" ht="28" hidden="false" customHeight="true" outlineLevel="0" collapsed="false">
      <c r="A28" s="11" t="s">
        <v>691</v>
      </c>
      <c r="B28" s="12" t="n">
        <f aca="false">(B9/B15)*SQRT(B22)</f>
        <v>5.0613519884135</v>
      </c>
      <c r="C28" s="5" t="s">
        <v>247</v>
      </c>
      <c r="D28" s="6" t="s">
        <v>909</v>
      </c>
      <c r="E28" s="6" t="s">
        <v>910</v>
      </c>
      <c r="F28" s="7" t="s">
        <v>911</v>
      </c>
    </row>
    <row r="29" customFormat="false" ht="28" hidden="false" customHeight="true" outlineLevel="0" collapsed="false">
      <c r="A29" s="11" t="s">
        <v>912</v>
      </c>
      <c r="B29" s="12" t="n">
        <f aca="false">B9*SQRT(B22)</f>
        <v>6.83282518435822</v>
      </c>
      <c r="C29" s="5" t="s">
        <v>247</v>
      </c>
      <c r="D29" s="6" t="s">
        <v>839</v>
      </c>
      <c r="E29" s="6" t="s">
        <v>840</v>
      </c>
      <c r="F29" s="7" t="s">
        <v>913</v>
      </c>
    </row>
    <row r="30" customFormat="false" ht="28" hidden="false" customHeight="true" outlineLevel="0" collapsed="false">
      <c r="A30" s="11" t="s">
        <v>914</v>
      </c>
      <c r="B30" s="12" t="n">
        <f aca="false">B9*SQRT(1-B23)</f>
        <v>8.75535550391873</v>
      </c>
      <c r="C30" s="5" t="s">
        <v>247</v>
      </c>
      <c r="D30" s="6" t="s">
        <v>843</v>
      </c>
      <c r="E30" s="6" t="s">
        <v>844</v>
      </c>
      <c r="F30" s="7" t="s">
        <v>915</v>
      </c>
    </row>
    <row r="31" customFormat="false" ht="28" hidden="false" customHeight="true" outlineLevel="0" collapsed="false">
      <c r="A31" s="11" t="s">
        <v>916</v>
      </c>
      <c r="B31" s="12" t="n">
        <f aca="false">B7/B15</f>
        <v>53.3333333333333</v>
      </c>
      <c r="C31" s="5" t="s">
        <v>150</v>
      </c>
      <c r="D31" s="6" t="s">
        <v>917</v>
      </c>
      <c r="E31" s="6" t="s">
        <v>918</v>
      </c>
      <c r="F31" s="7" t="s">
        <v>919</v>
      </c>
    </row>
    <row r="32" customFormat="false" ht="28" hidden="false" customHeight="true" outlineLevel="0" collapsed="false">
      <c r="A32" s="11" t="s">
        <v>263</v>
      </c>
      <c r="B32" s="12" t="n">
        <f aca="false">B24/SQRT(12)</f>
        <v>0.721687836487032</v>
      </c>
      <c r="C32" s="5" t="s">
        <v>247</v>
      </c>
      <c r="D32" s="6" t="s">
        <v>850</v>
      </c>
      <c r="E32" s="6" t="s">
        <v>851</v>
      </c>
      <c r="F32" s="7" t="s">
        <v>920</v>
      </c>
    </row>
    <row r="33" customFormat="false" ht="28" hidden="false" customHeight="true" outlineLevel="0" collapsed="false">
      <c r="A33" s="11" t="s">
        <v>271</v>
      </c>
      <c r="B33" s="12" t="n">
        <f aca="false">(B24/(8*(B10*1000)*(B8*(B12/100))))*1000000</f>
        <v>17.3611111111111</v>
      </c>
      <c r="C33" s="5" t="s">
        <v>272</v>
      </c>
      <c r="D33" s="6" t="s">
        <v>853</v>
      </c>
      <c r="E33" s="6" t="s">
        <v>854</v>
      </c>
      <c r="F33" s="7" t="s">
        <v>708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48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921</v>
      </c>
      <c r="B36" s="12" t="n">
        <f aca="false">(B22/(B10*1000))*1000000</f>
        <v>3.1125</v>
      </c>
      <c r="C36" s="5" t="s">
        <v>922</v>
      </c>
      <c r="D36" s="6" t="s">
        <v>923</v>
      </c>
      <c r="E36" s="6" t="s">
        <v>924</v>
      </c>
      <c r="F36" s="7" t="s">
        <v>925</v>
      </c>
    </row>
    <row r="37" customFormat="false" ht="28" hidden="false" customHeight="true" outlineLevel="0" collapsed="false">
      <c r="A37" s="11" t="s">
        <v>926</v>
      </c>
      <c r="B37" s="12" t="n">
        <f aca="false">((1 - 2*B22)/(B10*1000))*1000000</f>
        <v>0.441666666666666</v>
      </c>
      <c r="C37" s="5" t="s">
        <v>922</v>
      </c>
      <c r="D37" s="6" t="s">
        <v>927</v>
      </c>
      <c r="E37" s="6" t="s">
        <v>928</v>
      </c>
      <c r="F37" s="7" t="s">
        <v>929</v>
      </c>
    </row>
    <row r="38" customFormat="false" ht="28" hidden="false" customHeight="true" outlineLevel="0" collapsed="false">
      <c r="A38" s="11" t="s">
        <v>930</v>
      </c>
      <c r="B38" s="12" t="n">
        <f aca="false">(B6*B22)/(0.1*(B9/B15)*B10*1000)*1000000</f>
        <v>151.2675</v>
      </c>
      <c r="C38" s="5" t="s">
        <v>238</v>
      </c>
      <c r="D38" s="6" t="s">
        <v>931</v>
      </c>
      <c r="E38" s="6" t="s">
        <v>932</v>
      </c>
      <c r="F38" s="7" t="s">
        <v>933</v>
      </c>
    </row>
    <row r="39" customFormat="false" ht="28" hidden="false" customHeight="true" outlineLevel="0" collapsed="false">
      <c r="A39" s="11" t="s">
        <v>934</v>
      </c>
      <c r="B39" s="12" t="n">
        <f aca="false">0.5*(0.1*(B9/B15))*B22</f>
        <v>0.172916666666667</v>
      </c>
      <c r="C39" s="5" t="s">
        <v>167</v>
      </c>
      <c r="D39" s="6" t="s">
        <v>935</v>
      </c>
      <c r="E39" s="6" t="s">
        <v>936</v>
      </c>
      <c r="F39" s="7" t="s">
        <v>937</v>
      </c>
    </row>
    <row r="40" customFormat="false" ht="28" hidden="false" customHeight="true" outlineLevel="0" collapsed="false">
      <c r="A40" s="11" t="s">
        <v>938</v>
      </c>
      <c r="B40" s="12" t="n">
        <f aca="false">(B20/(0.28*B17*(B18*1000000)*(B10*1000)))*100000000</f>
        <v>0.253968253968254</v>
      </c>
      <c r="C40" s="5" t="s">
        <v>286</v>
      </c>
      <c r="D40" s="6" t="s">
        <v>939</v>
      </c>
      <c r="E40" s="6" t="s">
        <v>940</v>
      </c>
      <c r="F40" s="7" t="s">
        <v>941</v>
      </c>
    </row>
    <row r="41" customFormat="false" ht="28" hidden="false" customHeight="true" outlineLevel="0" collapsed="false">
      <c r="A41" s="11" t="s">
        <v>869</v>
      </c>
      <c r="B41" s="12" t="n">
        <f aca="false">1/(2*3.14159265*SQRT((B25/1000000)*(B33/1000000)))/1000</f>
        <v>7.57161542055454</v>
      </c>
      <c r="C41" s="5" t="s">
        <v>172</v>
      </c>
      <c r="D41" s="6" t="s">
        <v>870</v>
      </c>
      <c r="E41" s="6" t="s">
        <v>871</v>
      </c>
      <c r="F41" s="7" t="s">
        <v>654</v>
      </c>
    </row>
    <row r="42" customFormat="false" ht="28" hidden="false" customHeight="true" outlineLevel="0" collapsed="false">
      <c r="A42" s="11" t="s">
        <v>612</v>
      </c>
      <c r="B42" s="12" t="n">
        <f aca="false">(B28^2)*(B16/1000) + 0.5*(2*B5)*(B9/B15)*(25/1000000000)*(B10*1000)</f>
        <v>2.22993827160494</v>
      </c>
      <c r="C42" s="5" t="s">
        <v>215</v>
      </c>
      <c r="D42" s="6" t="s">
        <v>942</v>
      </c>
      <c r="E42" s="6" t="s">
        <v>943</v>
      </c>
      <c r="F42" s="7" t="s">
        <v>944</v>
      </c>
    </row>
    <row r="43" customFormat="false" ht="28" hidden="false" customHeight="true" outlineLevel="0" collapsed="false">
      <c r="A43" s="11" t="s">
        <v>945</v>
      </c>
      <c r="B43" s="12" t="n">
        <f aca="false">B9*B13</f>
        <v>4.5</v>
      </c>
      <c r="C43" s="5" t="s">
        <v>215</v>
      </c>
      <c r="D43" s="6" t="s">
        <v>946</v>
      </c>
      <c r="E43" s="6" t="s">
        <v>887</v>
      </c>
      <c r="F43" s="7" t="s">
        <v>947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13.3333333333333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889</v>
      </c>
      <c r="B45" s="12" t="n">
        <f aca="false">B9/B18</f>
        <v>2.22222222222222</v>
      </c>
      <c r="C45" s="5" t="s">
        <v>320</v>
      </c>
      <c r="D45" s="6" t="s">
        <v>890</v>
      </c>
      <c r="E45" s="6" t="s">
        <v>891</v>
      </c>
      <c r="F45" s="7" t="s">
        <v>948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949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950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310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200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380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24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12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120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92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3.2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120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288</v>
      </c>
      <c r="C20" s="5" t="s">
        <v>215</v>
      </c>
      <c r="D20" s="6" t="s">
        <v>216</v>
      </c>
      <c r="E20" s="6" t="s">
        <v>217</v>
      </c>
      <c r="F20" s="7" t="s">
        <v>951</v>
      </c>
    </row>
    <row r="21" customFormat="false" ht="28" hidden="false" customHeight="true" outlineLevel="0" collapsed="false">
      <c r="A21" s="11" t="s">
        <v>327</v>
      </c>
      <c r="B21" s="12" t="n">
        <f aca="false">B15*(B8+B13)/B5</f>
        <v>0.252903225806452</v>
      </c>
      <c r="C21" s="5" t="s">
        <v>194</v>
      </c>
      <c r="D21" s="6" t="s">
        <v>812</v>
      </c>
      <c r="E21" s="6" t="s">
        <v>813</v>
      </c>
      <c r="F21" s="7" t="s">
        <v>952</v>
      </c>
    </row>
    <row r="22" customFormat="false" ht="28" hidden="false" customHeight="true" outlineLevel="0" collapsed="false">
      <c r="A22" s="11" t="s">
        <v>756</v>
      </c>
      <c r="B22" s="12" t="n">
        <f aca="false">B15*(B8+B13)/B6</f>
        <v>0.392</v>
      </c>
      <c r="C22" s="5" t="s">
        <v>757</v>
      </c>
      <c r="D22" s="6" t="s">
        <v>953</v>
      </c>
      <c r="E22" s="6" t="s">
        <v>898</v>
      </c>
      <c r="F22" s="7" t="s">
        <v>954</v>
      </c>
    </row>
    <row r="23" customFormat="false" ht="28" hidden="false" customHeight="true" outlineLevel="0" collapsed="false">
      <c r="A23" s="11" t="s">
        <v>228</v>
      </c>
      <c r="B23" s="12" t="n">
        <f aca="false">B15*(B8+B13)/B7</f>
        <v>0.206315789473684</v>
      </c>
      <c r="C23" s="5" t="s">
        <v>194</v>
      </c>
      <c r="D23" s="6" t="s">
        <v>818</v>
      </c>
      <c r="E23" s="6" t="s">
        <v>819</v>
      </c>
      <c r="F23" s="7" t="s">
        <v>336</v>
      </c>
    </row>
    <row r="24" customFormat="false" ht="28" hidden="false" customHeight="true" outlineLevel="0" collapsed="false">
      <c r="A24" s="11" t="s">
        <v>820</v>
      </c>
      <c r="B24" s="12" t="n">
        <f aca="false">B9*(B11/100)</f>
        <v>3</v>
      </c>
      <c r="C24" s="5" t="s">
        <v>233</v>
      </c>
      <c r="D24" s="6" t="s">
        <v>234</v>
      </c>
      <c r="E24" s="6" t="s">
        <v>235</v>
      </c>
      <c r="F24" s="7" t="s">
        <v>955</v>
      </c>
    </row>
    <row r="25" customFormat="false" ht="28" hidden="false" customHeight="true" outlineLevel="0" collapsed="false">
      <c r="A25" s="11" t="s">
        <v>822</v>
      </c>
      <c r="B25" s="12" t="n">
        <f aca="false">(((B7/B15)-B8-B13)*B23)/(B24*B10*1000)*1000000</f>
        <v>54.0146198830409</v>
      </c>
      <c r="C25" s="5" t="s">
        <v>238</v>
      </c>
      <c r="D25" s="6" t="s">
        <v>823</v>
      </c>
      <c r="E25" s="6" t="s">
        <v>824</v>
      </c>
      <c r="F25" s="7" t="s">
        <v>901</v>
      </c>
    </row>
    <row r="26" customFormat="false" ht="28" hidden="false" customHeight="true" outlineLevel="0" collapsed="false">
      <c r="A26" s="11" t="s">
        <v>956</v>
      </c>
      <c r="B26" s="12" t="n">
        <f aca="false">B7</f>
        <v>380</v>
      </c>
      <c r="C26" s="5" t="s">
        <v>150</v>
      </c>
      <c r="D26" s="6" t="s">
        <v>957</v>
      </c>
      <c r="E26" s="6" t="s">
        <v>772</v>
      </c>
      <c r="F26" s="7" t="s">
        <v>958</v>
      </c>
    </row>
    <row r="27" customFormat="false" ht="28" hidden="false" customHeight="true" outlineLevel="0" collapsed="false">
      <c r="A27" s="11" t="s">
        <v>766</v>
      </c>
      <c r="B27" s="12" t="n">
        <f aca="false">((B9 + B24/2)/B15)*1.08</f>
        <v>4.55625</v>
      </c>
      <c r="C27" s="5" t="s">
        <v>167</v>
      </c>
      <c r="D27" s="6" t="s">
        <v>906</v>
      </c>
      <c r="E27" s="6" t="s">
        <v>907</v>
      </c>
      <c r="F27" s="7" t="s">
        <v>959</v>
      </c>
    </row>
    <row r="28" customFormat="false" ht="28" hidden="false" customHeight="true" outlineLevel="0" collapsed="false">
      <c r="A28" s="11" t="s">
        <v>768</v>
      </c>
      <c r="B28" s="12" t="n">
        <f aca="false">(B9/B15)*SQRT(B22)</f>
        <v>2.34787137637478</v>
      </c>
      <c r="C28" s="5" t="s">
        <v>247</v>
      </c>
      <c r="D28" s="6" t="s">
        <v>909</v>
      </c>
      <c r="E28" s="6" t="s">
        <v>910</v>
      </c>
      <c r="F28" s="7" t="s">
        <v>960</v>
      </c>
    </row>
    <row r="29" customFormat="false" ht="28" hidden="false" customHeight="true" outlineLevel="0" collapsed="false">
      <c r="A29" s="11" t="s">
        <v>912</v>
      </c>
      <c r="B29" s="12" t="n">
        <f aca="false">B9*SQRT(B22)</f>
        <v>7.51318840439929</v>
      </c>
      <c r="C29" s="5" t="s">
        <v>247</v>
      </c>
      <c r="D29" s="6" t="s">
        <v>839</v>
      </c>
      <c r="E29" s="6" t="s">
        <v>840</v>
      </c>
      <c r="F29" s="7" t="s">
        <v>961</v>
      </c>
    </row>
    <row r="30" customFormat="false" ht="28" hidden="false" customHeight="true" outlineLevel="0" collapsed="false">
      <c r="A30" s="11" t="s">
        <v>914</v>
      </c>
      <c r="B30" s="12" t="n">
        <f aca="false">B9*SQRT(1-B23)</f>
        <v>10.6906747362264</v>
      </c>
      <c r="C30" s="5" t="s">
        <v>247</v>
      </c>
      <c r="D30" s="6" t="s">
        <v>843</v>
      </c>
      <c r="E30" s="6" t="s">
        <v>844</v>
      </c>
      <c r="F30" s="7" t="s">
        <v>962</v>
      </c>
    </row>
    <row r="31" customFormat="false" ht="28" hidden="false" customHeight="true" outlineLevel="0" collapsed="false">
      <c r="A31" s="11" t="s">
        <v>916</v>
      </c>
      <c r="B31" s="12" t="n">
        <f aca="false">B7/B15</f>
        <v>118.75</v>
      </c>
      <c r="C31" s="5" t="s">
        <v>150</v>
      </c>
      <c r="D31" s="6" t="s">
        <v>917</v>
      </c>
      <c r="E31" s="6" t="s">
        <v>918</v>
      </c>
      <c r="F31" s="7" t="s">
        <v>963</v>
      </c>
    </row>
    <row r="32" customFormat="false" ht="28" hidden="false" customHeight="true" outlineLevel="0" collapsed="false">
      <c r="A32" s="11" t="s">
        <v>263</v>
      </c>
      <c r="B32" s="12" t="n">
        <f aca="false">B24/SQRT(12)</f>
        <v>0.866025403784439</v>
      </c>
      <c r="C32" s="5" t="s">
        <v>247</v>
      </c>
      <c r="D32" s="6" t="s">
        <v>850</v>
      </c>
      <c r="E32" s="6" t="s">
        <v>851</v>
      </c>
      <c r="F32" s="7" t="s">
        <v>777</v>
      </c>
    </row>
    <row r="33" customFormat="false" ht="28" hidden="false" customHeight="true" outlineLevel="0" collapsed="false">
      <c r="A33" s="11" t="s">
        <v>271</v>
      </c>
      <c r="B33" s="12" t="n">
        <f aca="false">(B24/(8*(B10*1000)*(B8*(B12/100))))*1000000</f>
        <v>13.0208333333333</v>
      </c>
      <c r="C33" s="5" t="s">
        <v>272</v>
      </c>
      <c r="D33" s="6" t="s">
        <v>853</v>
      </c>
      <c r="E33" s="6" t="s">
        <v>854</v>
      </c>
      <c r="F33" s="7" t="s">
        <v>708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80</v>
      </c>
      <c r="C34" s="5" t="s">
        <v>199</v>
      </c>
      <c r="D34" s="6" t="s">
        <v>856</v>
      </c>
      <c r="E34" s="6" t="s">
        <v>857</v>
      </c>
      <c r="F34" s="7" t="s">
        <v>964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965</v>
      </c>
      <c r="B36" s="12" t="n">
        <f aca="false">((1 - 2*B22)/(B10*1000))*1000000</f>
        <v>1.8</v>
      </c>
      <c r="C36" s="5" t="s">
        <v>922</v>
      </c>
      <c r="D36" s="6" t="s">
        <v>927</v>
      </c>
      <c r="E36" s="6" t="s">
        <v>966</v>
      </c>
      <c r="F36" s="7" t="s">
        <v>967</v>
      </c>
    </row>
    <row r="37" customFormat="false" ht="28" hidden="false" customHeight="true" outlineLevel="0" collapsed="false">
      <c r="A37" s="11" t="s">
        <v>968</v>
      </c>
      <c r="B37" s="12" t="n">
        <f aca="false">(B6*B22)/(0.08*(B9/B15)*B10*1000)*1000000</f>
        <v>2177.77777777778</v>
      </c>
      <c r="C37" s="5" t="s">
        <v>238</v>
      </c>
      <c r="D37" s="6" t="s">
        <v>684</v>
      </c>
      <c r="E37" s="6" t="s">
        <v>685</v>
      </c>
      <c r="F37" s="7" t="s">
        <v>969</v>
      </c>
    </row>
    <row r="38" customFormat="false" ht="28" hidden="false" customHeight="true" outlineLevel="0" collapsed="false">
      <c r="A38" s="11" t="s">
        <v>970</v>
      </c>
      <c r="B38" s="12" t="n">
        <f aca="false">(0.08*(B9/B15))*SQRT(B22/3)</f>
        <v>0.108443533693808</v>
      </c>
      <c r="C38" s="5" t="s">
        <v>247</v>
      </c>
      <c r="D38" s="6" t="s">
        <v>971</v>
      </c>
      <c r="E38" s="6" t="s">
        <v>972</v>
      </c>
      <c r="F38" s="7" t="s">
        <v>973</v>
      </c>
    </row>
    <row r="39" customFormat="false" ht="28" hidden="false" customHeight="true" outlineLevel="0" collapsed="false">
      <c r="A39" s="11" t="s">
        <v>974</v>
      </c>
      <c r="B39" s="12" t="n">
        <f aca="false">(B20/(0.32*B17*(B18*1000000)*(B10*1000)))*100000000</f>
        <v>0.666666666666667</v>
      </c>
      <c r="C39" s="5" t="s">
        <v>286</v>
      </c>
      <c r="D39" s="6" t="s">
        <v>939</v>
      </c>
      <c r="E39" s="6" t="s">
        <v>940</v>
      </c>
      <c r="F39" s="7" t="s">
        <v>975</v>
      </c>
    </row>
    <row r="40" customFormat="false" ht="28" hidden="false" customHeight="true" outlineLevel="0" collapsed="false">
      <c r="A40" s="11" t="s">
        <v>877</v>
      </c>
      <c r="B40" s="12" t="n">
        <f aca="false">(((B25/1000000)*(B9+B24/2)*B9)/(0.35*B17*(B18*1000000)))*100000000</f>
        <v>2.22231578947368</v>
      </c>
      <c r="C40" s="5" t="s">
        <v>286</v>
      </c>
      <c r="D40" s="6" t="s">
        <v>878</v>
      </c>
      <c r="E40" s="6" t="s">
        <v>879</v>
      </c>
      <c r="F40" s="7" t="s">
        <v>976</v>
      </c>
    </row>
    <row r="41" customFormat="false" ht="28" hidden="false" customHeight="true" outlineLevel="0" collapsed="false">
      <c r="A41" s="11" t="s">
        <v>869</v>
      </c>
      <c r="B41" s="12" t="n">
        <f aca="false">1/(2*3.14159265*SQRT((B25/1000000)*(B33/1000000)))/1000</f>
        <v>6.00129644499475</v>
      </c>
      <c r="C41" s="5" t="s">
        <v>172</v>
      </c>
      <c r="D41" s="6" t="s">
        <v>870</v>
      </c>
      <c r="E41" s="6" t="s">
        <v>871</v>
      </c>
      <c r="F41" s="7" t="s">
        <v>977</v>
      </c>
    </row>
    <row r="42" customFormat="false" ht="28" hidden="false" customHeight="true" outlineLevel="0" collapsed="false">
      <c r="A42" s="11" t="s">
        <v>978</v>
      </c>
      <c r="B42" s="12" t="n">
        <f aca="false">2*(B28^2)*(B16/1000) + B5*(B9/B15)*(25/1000000000)*(B10*1000)</f>
        <v>4.8105</v>
      </c>
      <c r="C42" s="5" t="s">
        <v>215</v>
      </c>
      <c r="D42" s="6" t="s">
        <v>979</v>
      </c>
      <c r="E42" s="6" t="s">
        <v>980</v>
      </c>
      <c r="F42" s="7" t="s">
        <v>981</v>
      </c>
    </row>
    <row r="43" customFormat="false" ht="28" hidden="false" customHeight="true" outlineLevel="0" collapsed="false">
      <c r="A43" s="11" t="s">
        <v>945</v>
      </c>
      <c r="B43" s="12" t="n">
        <f aca="false">B9*B13</f>
        <v>6</v>
      </c>
      <c r="C43" s="5" t="s">
        <v>215</v>
      </c>
      <c r="D43" s="6" t="s">
        <v>946</v>
      </c>
      <c r="E43" s="6" t="s">
        <v>887</v>
      </c>
      <c r="F43" s="7" t="s">
        <v>982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25.0434782608696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889</v>
      </c>
      <c r="B45" s="12" t="n">
        <f aca="false">B9/B18</f>
        <v>2.66666666666667</v>
      </c>
      <c r="C45" s="5" t="s">
        <v>320</v>
      </c>
      <c r="D45" s="6" t="s">
        <v>890</v>
      </c>
      <c r="E45" s="6" t="s">
        <v>891</v>
      </c>
      <c r="F45" s="7" t="s">
        <v>983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984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985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24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18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32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48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8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92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0.3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14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384</v>
      </c>
      <c r="C20" s="5" t="s">
        <v>215</v>
      </c>
      <c r="D20" s="6" t="s">
        <v>216</v>
      </c>
      <c r="E20" s="6" t="s">
        <v>217</v>
      </c>
      <c r="F20" s="7" t="s">
        <v>986</v>
      </c>
    </row>
    <row r="21" customFormat="false" ht="28" hidden="false" customHeight="true" outlineLevel="0" collapsed="false">
      <c r="A21" s="11" t="s">
        <v>987</v>
      </c>
      <c r="B21" s="12" t="n">
        <f aca="false">B15*(B8+B13)/(2*B5)</f>
        <v>0.3034375</v>
      </c>
      <c r="C21" s="5" t="s">
        <v>757</v>
      </c>
      <c r="D21" s="6" t="s">
        <v>988</v>
      </c>
      <c r="E21" s="6" t="s">
        <v>989</v>
      </c>
      <c r="F21" s="7" t="s">
        <v>990</v>
      </c>
    </row>
    <row r="22" customFormat="false" ht="28" hidden="false" customHeight="true" outlineLevel="0" collapsed="false">
      <c r="A22" s="11" t="s">
        <v>991</v>
      </c>
      <c r="B22" s="12" t="n">
        <f aca="false">B15*(B8+B13)/(2*B6)</f>
        <v>0.404583333333333</v>
      </c>
      <c r="C22" s="5" t="s">
        <v>757</v>
      </c>
      <c r="D22" s="6" t="s">
        <v>992</v>
      </c>
      <c r="E22" s="6" t="s">
        <v>993</v>
      </c>
      <c r="F22" s="7" t="s">
        <v>994</v>
      </c>
    </row>
    <row r="23" customFormat="false" ht="28" hidden="false" customHeight="true" outlineLevel="0" collapsed="false">
      <c r="A23" s="11" t="s">
        <v>995</v>
      </c>
      <c r="B23" s="12" t="n">
        <f aca="false">B15*(B8+B13)/(2*B7)</f>
        <v>0.227578125</v>
      </c>
      <c r="C23" s="5" t="s">
        <v>194</v>
      </c>
      <c r="D23" s="6" t="s">
        <v>996</v>
      </c>
      <c r="E23" s="6" t="s">
        <v>997</v>
      </c>
      <c r="F23" s="7" t="s">
        <v>998</v>
      </c>
    </row>
    <row r="24" customFormat="false" ht="28" hidden="false" customHeight="true" outlineLevel="0" collapsed="false">
      <c r="A24" s="11" t="s">
        <v>999</v>
      </c>
      <c r="B24" s="12" t="n">
        <f aca="false">B9*(B11/100)</f>
        <v>2</v>
      </c>
      <c r="C24" s="5" t="s">
        <v>233</v>
      </c>
      <c r="D24" s="6" t="s">
        <v>234</v>
      </c>
      <c r="E24" s="6" t="s">
        <v>235</v>
      </c>
      <c r="F24" s="7" t="s">
        <v>1000</v>
      </c>
    </row>
    <row r="25" customFormat="false" ht="28" hidden="false" customHeight="true" outlineLevel="0" collapsed="false">
      <c r="A25" s="11" t="s">
        <v>822</v>
      </c>
      <c r="B25" s="12" t="n">
        <f aca="false">(((B7/B15)-B8-B13)*B23)/(B24*B10*1000)*1000000</f>
        <v>66.13041015625</v>
      </c>
      <c r="C25" s="5" t="s">
        <v>238</v>
      </c>
      <c r="D25" s="6" t="s">
        <v>1001</v>
      </c>
      <c r="E25" s="6" t="s">
        <v>824</v>
      </c>
      <c r="F25" s="7" t="s">
        <v>1002</v>
      </c>
    </row>
    <row r="26" customFormat="false" ht="28" hidden="false" customHeight="true" outlineLevel="0" collapsed="false">
      <c r="A26" s="11" t="s">
        <v>1003</v>
      </c>
      <c r="B26" s="12" t="n">
        <f aca="false">2*B7*1.15</f>
        <v>73.6</v>
      </c>
      <c r="C26" s="5" t="s">
        <v>150</v>
      </c>
      <c r="D26" s="6" t="s">
        <v>1004</v>
      </c>
      <c r="E26" s="6" t="s">
        <v>1005</v>
      </c>
      <c r="F26" s="7" t="s">
        <v>1006</v>
      </c>
    </row>
    <row r="27" customFormat="false" ht="28" hidden="false" customHeight="true" outlineLevel="0" collapsed="false">
      <c r="A27" s="11" t="s">
        <v>766</v>
      </c>
      <c r="B27" s="12" t="n">
        <f aca="false">(B9 + B24/2)/B15</f>
        <v>30</v>
      </c>
      <c r="C27" s="5" t="s">
        <v>167</v>
      </c>
      <c r="D27" s="6" t="s">
        <v>1007</v>
      </c>
      <c r="E27" s="6" t="s">
        <v>1008</v>
      </c>
      <c r="F27" s="7" t="s">
        <v>959</v>
      </c>
    </row>
    <row r="28" customFormat="false" ht="28" hidden="false" customHeight="true" outlineLevel="0" collapsed="false">
      <c r="A28" s="11" t="s">
        <v>768</v>
      </c>
      <c r="B28" s="12" t="n">
        <f aca="false">(B9/B15)*SQRT(B22)</f>
        <v>16.9618307886768</v>
      </c>
      <c r="C28" s="5" t="s">
        <v>247</v>
      </c>
      <c r="D28" s="6" t="s">
        <v>909</v>
      </c>
      <c r="E28" s="6" t="s">
        <v>910</v>
      </c>
      <c r="F28" s="7" t="s">
        <v>1009</v>
      </c>
    </row>
    <row r="29" customFormat="false" ht="28" hidden="false" customHeight="true" outlineLevel="0" collapsed="false">
      <c r="A29" s="11" t="s">
        <v>1010</v>
      </c>
      <c r="B29" s="12" t="n">
        <f aca="false">B9*SQRT(0.5)</f>
        <v>5.65685424949238</v>
      </c>
      <c r="C29" s="5" t="s">
        <v>247</v>
      </c>
      <c r="D29" s="6" t="s">
        <v>1011</v>
      </c>
      <c r="E29" s="6" t="s">
        <v>1012</v>
      </c>
      <c r="F29" s="7" t="s">
        <v>1013</v>
      </c>
    </row>
    <row r="30" customFormat="false" ht="28" hidden="false" customHeight="true" outlineLevel="0" collapsed="false">
      <c r="A30" s="11" t="s">
        <v>703</v>
      </c>
      <c r="B30" s="12" t="n">
        <f aca="false">2*B7/B15</f>
        <v>213.333333333333</v>
      </c>
      <c r="C30" s="5" t="s">
        <v>150</v>
      </c>
      <c r="D30" s="6" t="s">
        <v>1014</v>
      </c>
      <c r="E30" s="6" t="s">
        <v>1015</v>
      </c>
      <c r="F30" s="7" t="s">
        <v>1016</v>
      </c>
    </row>
    <row r="31" customFormat="false" ht="28" hidden="false" customHeight="true" outlineLevel="0" collapsed="false">
      <c r="A31" s="11" t="s">
        <v>263</v>
      </c>
      <c r="B31" s="12" t="n">
        <f aca="false">B24/SQRT(12)</f>
        <v>0.577350269189626</v>
      </c>
      <c r="C31" s="5" t="s">
        <v>247</v>
      </c>
      <c r="D31" s="6" t="s">
        <v>850</v>
      </c>
      <c r="E31" s="6" t="s">
        <v>851</v>
      </c>
      <c r="F31" s="7" t="s">
        <v>542</v>
      </c>
    </row>
    <row r="32" customFormat="false" ht="28" hidden="false" customHeight="true" outlineLevel="0" collapsed="false">
      <c r="A32" s="11" t="s">
        <v>1017</v>
      </c>
      <c r="B32" s="12" t="n">
        <f aca="false">(B24/(8*(2*B10*1000)*(B8*(B12/100))))*1000000</f>
        <v>2.60416666666667</v>
      </c>
      <c r="C32" s="5" t="s">
        <v>272</v>
      </c>
      <c r="D32" s="6" t="s">
        <v>1018</v>
      </c>
      <c r="E32" s="6" t="s">
        <v>1019</v>
      </c>
      <c r="F32" s="7" t="s">
        <v>1020</v>
      </c>
    </row>
    <row r="33" customFormat="false" ht="28" hidden="false" customHeight="true" outlineLevel="0" collapsed="false">
      <c r="A33" s="11" t="s">
        <v>267</v>
      </c>
      <c r="B33" s="12" t="n">
        <f aca="false">(B9/B15)*SQRT(2*B22*(1 - 2*B22))</f>
        <v>10.4788794047955</v>
      </c>
      <c r="C33" s="5" t="s">
        <v>247</v>
      </c>
      <c r="D33" s="6" t="s">
        <v>1021</v>
      </c>
      <c r="E33" s="6" t="s">
        <v>1022</v>
      </c>
      <c r="F33" s="7" t="s">
        <v>1023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240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1024</v>
      </c>
      <c r="B36" s="12" t="n">
        <f aca="false">(B20/(0.28*(2*B17)*(B18*1000000)*(B10*1000)))*100000000</f>
        <v>0.609523809523809</v>
      </c>
      <c r="C36" s="5" t="s">
        <v>286</v>
      </c>
      <c r="D36" s="6" t="s">
        <v>874</v>
      </c>
      <c r="E36" s="6" t="s">
        <v>1025</v>
      </c>
      <c r="F36" s="7" t="s">
        <v>1026</v>
      </c>
    </row>
    <row r="37" customFormat="false" ht="28" hidden="false" customHeight="true" outlineLevel="0" collapsed="false">
      <c r="A37" s="11" t="s">
        <v>1027</v>
      </c>
      <c r="B37" s="12" t="n">
        <f aca="false">((0.5 - B22)/(B10*1000))*1000000</f>
        <v>0.954166666666667</v>
      </c>
      <c r="C37" s="5" t="s">
        <v>922</v>
      </c>
      <c r="D37" s="6" t="s">
        <v>1028</v>
      </c>
      <c r="E37" s="6" t="s">
        <v>1029</v>
      </c>
      <c r="F37" s="7" t="s">
        <v>1030</v>
      </c>
    </row>
    <row r="38" customFormat="false" ht="28" hidden="false" customHeight="true" outlineLevel="0" collapsed="false">
      <c r="A38" s="11" t="s">
        <v>869</v>
      </c>
      <c r="B38" s="12" t="n">
        <f aca="false">1/(2*3.14159265*SQRT((B25/1000000)*(B32/1000000)))/1000</f>
        <v>12.1278868420255</v>
      </c>
      <c r="C38" s="5" t="s">
        <v>172</v>
      </c>
      <c r="D38" s="6" t="s">
        <v>870</v>
      </c>
      <c r="E38" s="6" t="s">
        <v>871</v>
      </c>
      <c r="F38" s="7" t="s">
        <v>1031</v>
      </c>
    </row>
    <row r="39" customFormat="false" ht="28" hidden="false" customHeight="true" outlineLevel="0" collapsed="false">
      <c r="A39" s="11" t="s">
        <v>1032</v>
      </c>
      <c r="B39" s="12" t="n">
        <f aca="false">B27*1.2</f>
        <v>36</v>
      </c>
      <c r="C39" s="5" t="s">
        <v>167</v>
      </c>
      <c r="D39" s="6" t="s">
        <v>1033</v>
      </c>
      <c r="E39" s="6" t="s">
        <v>1034</v>
      </c>
      <c r="F39" s="7" t="s">
        <v>1035</v>
      </c>
    </row>
    <row r="40" customFormat="false" ht="28" hidden="false" customHeight="true" outlineLevel="0" collapsed="false">
      <c r="A40" s="11" t="s">
        <v>877</v>
      </c>
      <c r="B40" s="12" t="n">
        <f aca="false">(((B25/1000000)*(B9+B24/2)*B9)/(0.35*B17*(B18*1000000)))*100000000</f>
        <v>1.20924178571429</v>
      </c>
      <c r="C40" s="5" t="s">
        <v>286</v>
      </c>
      <c r="D40" s="6" t="s">
        <v>878</v>
      </c>
      <c r="E40" s="6" t="s">
        <v>879</v>
      </c>
      <c r="F40" s="7" t="s">
        <v>1036</v>
      </c>
    </row>
    <row r="41" customFormat="false" ht="28" hidden="false" customHeight="true" outlineLevel="0" collapsed="false">
      <c r="A41" s="11" t="s">
        <v>795</v>
      </c>
      <c r="B41" s="12" t="n">
        <f aca="false">2*(B28^2)*(B16/1000)</f>
        <v>8.0557037037037</v>
      </c>
      <c r="C41" s="5" t="s">
        <v>215</v>
      </c>
      <c r="D41" s="6" t="s">
        <v>796</v>
      </c>
      <c r="E41" s="6" t="s">
        <v>1037</v>
      </c>
      <c r="F41" s="7" t="s">
        <v>1038</v>
      </c>
    </row>
    <row r="42" customFormat="false" ht="28" hidden="false" customHeight="true" outlineLevel="0" collapsed="false">
      <c r="A42" s="11" t="s">
        <v>799</v>
      </c>
      <c r="B42" s="12" t="n">
        <f aca="false">2*0.5*(2*B5)*(B9/B15)*(22/1000000000)*(B10*1000)</f>
        <v>2.816</v>
      </c>
      <c r="C42" s="5" t="s">
        <v>215</v>
      </c>
      <c r="D42" s="6" t="s">
        <v>1039</v>
      </c>
      <c r="E42" s="6" t="s">
        <v>1040</v>
      </c>
      <c r="F42" s="7" t="s">
        <v>1041</v>
      </c>
    </row>
    <row r="43" customFormat="false" ht="28" hidden="false" customHeight="true" outlineLevel="0" collapsed="false">
      <c r="A43" s="11" t="s">
        <v>1042</v>
      </c>
      <c r="B43" s="12" t="n">
        <f aca="false">B9*B13</f>
        <v>4.4</v>
      </c>
      <c r="C43" s="5" t="s">
        <v>215</v>
      </c>
      <c r="D43" s="6" t="s">
        <v>946</v>
      </c>
      <c r="E43" s="6" t="s">
        <v>887</v>
      </c>
      <c r="F43" s="7" t="s">
        <v>1043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33.3913043478261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1044</v>
      </c>
      <c r="B45" s="12" t="n">
        <f aca="false">B28/B18</f>
        <v>3.76929573081706</v>
      </c>
      <c r="C45" s="5" t="s">
        <v>320</v>
      </c>
      <c r="D45" s="6" t="s">
        <v>806</v>
      </c>
      <c r="E45" s="6" t="s">
        <v>807</v>
      </c>
      <c r="F45" s="7" t="s">
        <v>1045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1046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1047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28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22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36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50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10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0.5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0.6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93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1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12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500</v>
      </c>
      <c r="C20" s="5" t="s">
        <v>215</v>
      </c>
      <c r="D20" s="6" t="s">
        <v>216</v>
      </c>
      <c r="E20" s="6" t="s">
        <v>217</v>
      </c>
      <c r="F20" s="7" t="s">
        <v>1048</v>
      </c>
    </row>
    <row r="21" customFormat="false" ht="28" hidden="false" customHeight="true" outlineLevel="0" collapsed="false">
      <c r="A21" s="11" t="s">
        <v>1049</v>
      </c>
      <c r="B21" s="12" t="n">
        <f aca="false">(1 - (B5/(B15*(B8+B13))))</f>
        <v>0.446640316205534</v>
      </c>
      <c r="C21" s="5" t="s">
        <v>1050</v>
      </c>
      <c r="D21" s="6" t="s">
        <v>1051</v>
      </c>
      <c r="E21" s="6" t="s">
        <v>1052</v>
      </c>
      <c r="F21" s="7" t="s">
        <v>1053</v>
      </c>
    </row>
    <row r="22" customFormat="false" ht="28" hidden="false" customHeight="true" outlineLevel="0" collapsed="false">
      <c r="A22" s="11" t="s">
        <v>224</v>
      </c>
      <c r="B22" s="12" t="n">
        <f aca="false">(1 - (B6/(B15*(B8+B13))))</f>
        <v>0.565217391304348</v>
      </c>
      <c r="C22" s="5" t="s">
        <v>194</v>
      </c>
      <c r="D22" s="6" t="s">
        <v>1054</v>
      </c>
      <c r="E22" s="6" t="s">
        <v>1055</v>
      </c>
      <c r="F22" s="7" t="s">
        <v>1056</v>
      </c>
    </row>
    <row r="23" customFormat="false" ht="28" hidden="false" customHeight="true" outlineLevel="0" collapsed="false">
      <c r="A23" s="11" t="s">
        <v>228</v>
      </c>
      <c r="B23" s="12" t="n">
        <f aca="false">MAX(0.05, 1 - (B7/(B15*(B8+B13))))</f>
        <v>0.288537549407115</v>
      </c>
      <c r="C23" s="5" t="s">
        <v>194</v>
      </c>
      <c r="D23" s="6" t="s">
        <v>1057</v>
      </c>
      <c r="E23" s="6" t="s">
        <v>1058</v>
      </c>
      <c r="F23" s="7" t="s">
        <v>336</v>
      </c>
    </row>
    <row r="24" customFormat="false" ht="28" hidden="false" customHeight="true" outlineLevel="0" collapsed="false">
      <c r="A24" s="11" t="s">
        <v>1059</v>
      </c>
      <c r="B24" s="12" t="n">
        <f aca="false">(B20/(B14/100))/B6</f>
        <v>24.4379276637341</v>
      </c>
      <c r="C24" s="5" t="s">
        <v>167</v>
      </c>
      <c r="D24" s="6" t="s">
        <v>1060</v>
      </c>
      <c r="E24" s="6" t="s">
        <v>1061</v>
      </c>
      <c r="F24" s="7" t="s">
        <v>1062</v>
      </c>
    </row>
    <row r="25" customFormat="false" ht="28" hidden="false" customHeight="true" outlineLevel="0" collapsed="false">
      <c r="A25" s="11" t="s">
        <v>1063</v>
      </c>
      <c r="B25" s="12" t="n">
        <f aca="false">B24*(B11/100)</f>
        <v>4.88758553274682</v>
      </c>
      <c r="C25" s="5" t="s">
        <v>233</v>
      </c>
      <c r="D25" s="6" t="s">
        <v>1064</v>
      </c>
      <c r="E25" s="6" t="s">
        <v>1065</v>
      </c>
      <c r="F25" s="7" t="s">
        <v>1066</v>
      </c>
    </row>
    <row r="26" customFormat="false" ht="28" hidden="false" customHeight="true" outlineLevel="0" collapsed="false">
      <c r="A26" s="11" t="s">
        <v>1067</v>
      </c>
      <c r="B26" s="12" t="n">
        <f aca="false">(B6*B22)/(B25*2*B10*1000)*1000000</f>
        <v>12.7207826086957</v>
      </c>
      <c r="C26" s="5" t="s">
        <v>238</v>
      </c>
      <c r="D26" s="6" t="s">
        <v>1068</v>
      </c>
      <c r="E26" s="6" t="s">
        <v>1069</v>
      </c>
      <c r="F26" s="7" t="s">
        <v>1070</v>
      </c>
    </row>
    <row r="27" customFormat="false" ht="28" hidden="false" customHeight="true" outlineLevel="0" collapsed="false">
      <c r="A27" s="11" t="s">
        <v>1071</v>
      </c>
      <c r="B27" s="12" t="n">
        <f aca="false">B24+(B25/2)</f>
        <v>26.8817204301075</v>
      </c>
      <c r="C27" s="5" t="s">
        <v>167</v>
      </c>
      <c r="D27" s="6" t="s">
        <v>1072</v>
      </c>
      <c r="E27" s="6" t="s">
        <v>1073</v>
      </c>
      <c r="F27" s="7" t="s">
        <v>1074</v>
      </c>
    </row>
    <row r="28" customFormat="false" ht="28" hidden="false" customHeight="true" outlineLevel="0" collapsed="false">
      <c r="A28" s="11" t="s">
        <v>1075</v>
      </c>
      <c r="B28" s="12" t="n">
        <f aca="false">B24*SQRT(B22)</f>
        <v>18.3726640165228</v>
      </c>
      <c r="C28" s="5" t="s">
        <v>247</v>
      </c>
      <c r="D28" s="6" t="s">
        <v>1076</v>
      </c>
      <c r="E28" s="6" t="s">
        <v>1077</v>
      </c>
      <c r="F28" s="7" t="s">
        <v>1078</v>
      </c>
    </row>
    <row r="29" customFormat="false" ht="28" hidden="false" customHeight="true" outlineLevel="0" collapsed="false">
      <c r="A29" s="11" t="s">
        <v>1079</v>
      </c>
      <c r="B29" s="12" t="n">
        <f aca="false">B7 + 2*B15*(B8+B13)</f>
        <v>137.2</v>
      </c>
      <c r="C29" s="5" t="s">
        <v>150</v>
      </c>
      <c r="D29" s="6" t="s">
        <v>1080</v>
      </c>
      <c r="E29" s="6" t="s">
        <v>1081</v>
      </c>
      <c r="F29" s="7" t="s">
        <v>1082</v>
      </c>
    </row>
    <row r="30" customFormat="false" ht="28" hidden="false" customHeight="true" outlineLevel="0" collapsed="false">
      <c r="A30" s="11" t="s">
        <v>1083</v>
      </c>
      <c r="B30" s="12" t="n">
        <f aca="false">B9*SQRT(B22)</f>
        <v>7.51809411556112</v>
      </c>
      <c r="C30" s="5" t="s">
        <v>247</v>
      </c>
      <c r="D30" s="6" t="s">
        <v>839</v>
      </c>
      <c r="E30" s="6" t="s">
        <v>840</v>
      </c>
      <c r="F30" s="7" t="s">
        <v>1084</v>
      </c>
    </row>
    <row r="31" customFormat="false" ht="28" hidden="false" customHeight="true" outlineLevel="0" collapsed="false">
      <c r="A31" s="11" t="s">
        <v>1085</v>
      </c>
      <c r="B31" s="12" t="n">
        <f aca="false">B9*SQRT(0.5-B23)</f>
        <v>4.59850465469902</v>
      </c>
      <c r="C31" s="5" t="s">
        <v>247</v>
      </c>
      <c r="D31" s="6" t="s">
        <v>1086</v>
      </c>
      <c r="E31" s="6" t="s">
        <v>1087</v>
      </c>
      <c r="F31" s="7" t="s">
        <v>1088</v>
      </c>
    </row>
    <row r="32" customFormat="false" ht="28" hidden="false" customHeight="true" outlineLevel="0" collapsed="false">
      <c r="A32" s="11" t="s">
        <v>916</v>
      </c>
      <c r="B32" s="12" t="n">
        <f aca="false">B8 + (B7/B15)</f>
        <v>86</v>
      </c>
      <c r="C32" s="5" t="s">
        <v>150</v>
      </c>
      <c r="D32" s="6" t="s">
        <v>1089</v>
      </c>
      <c r="E32" s="6" t="s">
        <v>705</v>
      </c>
      <c r="F32" s="7" t="s">
        <v>1090</v>
      </c>
    </row>
    <row r="33" customFormat="false" ht="28" hidden="false" customHeight="true" outlineLevel="0" collapsed="false">
      <c r="A33" s="11" t="s">
        <v>263</v>
      </c>
      <c r="B33" s="12" t="n">
        <f aca="false">(B25/B15)/SQRT(12)</f>
        <v>1.41092441150935</v>
      </c>
      <c r="C33" s="5" t="s">
        <v>247</v>
      </c>
      <c r="D33" s="6" t="s">
        <v>1091</v>
      </c>
      <c r="E33" s="6" t="s">
        <v>1092</v>
      </c>
      <c r="F33" s="7" t="s">
        <v>1093</v>
      </c>
    </row>
    <row r="34" customFormat="false" ht="28" hidden="false" customHeight="true" outlineLevel="0" collapsed="false">
      <c r="A34" s="11" t="s">
        <v>271</v>
      </c>
      <c r="B34" s="12" t="n">
        <f aca="false">((B25/B15)/(16*(B10*1000)*(B8*(B12/100))))*1000000</f>
        <v>12.2189638318671</v>
      </c>
      <c r="C34" s="5" t="s">
        <v>272</v>
      </c>
      <c r="D34" s="6" t="s">
        <v>1094</v>
      </c>
      <c r="E34" s="6" t="s">
        <v>1095</v>
      </c>
      <c r="F34" s="7" t="s">
        <v>1096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267</v>
      </c>
      <c r="B36" s="12" t="n">
        <f aca="false">B25/SQRT(12)</f>
        <v>1.41092441150935</v>
      </c>
      <c r="C36" s="5" t="s">
        <v>247</v>
      </c>
      <c r="D36" s="6" t="s">
        <v>1097</v>
      </c>
      <c r="E36" s="6" t="s">
        <v>1098</v>
      </c>
      <c r="F36" s="7" t="s">
        <v>1099</v>
      </c>
    </row>
    <row r="37" customFormat="false" ht="28" hidden="false" customHeight="true" outlineLevel="0" collapsed="false">
      <c r="A37" s="11" t="s">
        <v>1100</v>
      </c>
      <c r="B37" s="12" t="n">
        <f aca="false">(((B26/1000000)*B27*B24)/(0.32*B17*(B18*1000000)))*100000000</f>
        <v>2.32130798400083</v>
      </c>
      <c r="C37" s="5" t="s">
        <v>286</v>
      </c>
      <c r="D37" s="6" t="s">
        <v>1101</v>
      </c>
      <c r="E37" s="6" t="s">
        <v>1102</v>
      </c>
      <c r="F37" s="7" t="s">
        <v>1103</v>
      </c>
    </row>
    <row r="38" customFormat="false" ht="28" hidden="false" customHeight="true" outlineLevel="0" collapsed="false">
      <c r="A38" s="11" t="s">
        <v>1104</v>
      </c>
      <c r="B38" s="12" t="n">
        <f aca="false">(B20/(0.28*(2*B17)*(B18*1000000)*(B10*1000)))*100000000</f>
        <v>0.793650793650794</v>
      </c>
      <c r="C38" s="5" t="s">
        <v>286</v>
      </c>
      <c r="D38" s="6" t="s">
        <v>1105</v>
      </c>
      <c r="E38" s="6" t="s">
        <v>1025</v>
      </c>
      <c r="F38" s="7" t="s">
        <v>1106</v>
      </c>
    </row>
    <row r="39" customFormat="false" ht="28" hidden="false" customHeight="true" outlineLevel="0" collapsed="false">
      <c r="A39" s="11" t="s">
        <v>1107</v>
      </c>
      <c r="B39" s="12" t="n">
        <f aca="false">B10/6</f>
        <v>16.6666666666667</v>
      </c>
      <c r="C39" s="5" t="s">
        <v>172</v>
      </c>
      <c r="D39" s="6" t="s">
        <v>1108</v>
      </c>
      <c r="E39" s="6" t="s">
        <v>1109</v>
      </c>
      <c r="F39" s="7" t="s">
        <v>1110</v>
      </c>
    </row>
    <row r="40" customFormat="false" ht="28" hidden="false" customHeight="true" outlineLevel="0" collapsed="false">
      <c r="A40" s="11" t="s">
        <v>453</v>
      </c>
      <c r="B40" s="12" t="n">
        <f aca="false">((B8*(B12/100))/(B25/B15))*1000</f>
        <v>51.15</v>
      </c>
      <c r="C40" s="5" t="s">
        <v>199</v>
      </c>
      <c r="D40" s="6" t="s">
        <v>1111</v>
      </c>
      <c r="E40" s="6" t="s">
        <v>1112</v>
      </c>
      <c r="F40" s="7" t="s">
        <v>858</v>
      </c>
    </row>
    <row r="41" customFormat="false" ht="28" hidden="false" customHeight="true" outlineLevel="0" collapsed="false">
      <c r="A41" s="11" t="s">
        <v>795</v>
      </c>
      <c r="B41" s="12" t="n">
        <f aca="false">2*(B28^2)*(B16/1000)</f>
        <v>8.10131479353675</v>
      </c>
      <c r="C41" s="5" t="s">
        <v>215</v>
      </c>
      <c r="D41" s="6" t="s">
        <v>796</v>
      </c>
      <c r="E41" s="6" t="s">
        <v>1037</v>
      </c>
      <c r="F41" s="7" t="s">
        <v>1113</v>
      </c>
    </row>
    <row r="42" customFormat="false" ht="28" hidden="false" customHeight="true" outlineLevel="0" collapsed="false">
      <c r="A42" s="11" t="s">
        <v>799</v>
      </c>
      <c r="B42" s="12" t="n">
        <f aca="false">2*0.5*B29*B24*(22/1000000000)*(B10*1000)</f>
        <v>7.3763440860215</v>
      </c>
      <c r="C42" s="5" t="s">
        <v>215</v>
      </c>
      <c r="D42" s="6" t="s">
        <v>1114</v>
      </c>
      <c r="E42" s="6" t="s">
        <v>1115</v>
      </c>
      <c r="F42" s="7" t="s">
        <v>1041</v>
      </c>
    </row>
    <row r="43" customFormat="false" ht="28" hidden="false" customHeight="true" outlineLevel="0" collapsed="false">
      <c r="A43" s="11" t="s">
        <v>1116</v>
      </c>
      <c r="B43" s="12" t="n">
        <f aca="false">B9*B13</f>
        <v>6</v>
      </c>
      <c r="C43" s="5" t="s">
        <v>215</v>
      </c>
      <c r="D43" s="6" t="s">
        <v>946</v>
      </c>
      <c r="E43" s="6" t="s">
        <v>887</v>
      </c>
      <c r="F43" s="7" t="s">
        <v>1117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37.6344086021505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1118</v>
      </c>
      <c r="B45" s="12" t="n">
        <f aca="false">B24/B18</f>
        <v>5.43065059194091</v>
      </c>
      <c r="C45" s="5" t="s">
        <v>320</v>
      </c>
      <c r="D45" s="6" t="s">
        <v>1119</v>
      </c>
      <c r="E45" s="6" t="s">
        <v>1120</v>
      </c>
      <c r="F45" s="7" t="s">
        <v>1121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1122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1123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310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220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380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24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15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120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25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1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92.5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2.5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95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360</v>
      </c>
      <c r="C20" s="5" t="s">
        <v>215</v>
      </c>
      <c r="D20" s="6" t="s">
        <v>216</v>
      </c>
      <c r="E20" s="6" t="s">
        <v>217</v>
      </c>
      <c r="F20" s="7" t="s">
        <v>1124</v>
      </c>
    </row>
    <row r="21" customFormat="false" ht="28" hidden="false" customHeight="true" outlineLevel="0" collapsed="false">
      <c r="A21" s="11" t="s">
        <v>1125</v>
      </c>
      <c r="B21" s="12" t="n">
        <f aca="false">B15*(B8+B13)/B5</f>
        <v>0.19758064516129</v>
      </c>
      <c r="C21" s="5" t="s">
        <v>757</v>
      </c>
      <c r="D21" s="6" t="s">
        <v>1126</v>
      </c>
      <c r="E21" s="6" t="s">
        <v>1127</v>
      </c>
      <c r="F21" s="7" t="s">
        <v>1128</v>
      </c>
    </row>
    <row r="22" customFormat="false" ht="28" hidden="false" customHeight="true" outlineLevel="0" collapsed="false">
      <c r="A22" s="11" t="s">
        <v>1129</v>
      </c>
      <c r="B22" s="12" t="n">
        <f aca="false">B15*(B8+B13)/B6</f>
        <v>0.278409090909091</v>
      </c>
      <c r="C22" s="5" t="s">
        <v>757</v>
      </c>
      <c r="D22" s="6" t="s">
        <v>1130</v>
      </c>
      <c r="E22" s="6" t="s">
        <v>1131</v>
      </c>
      <c r="F22" s="7" t="s">
        <v>1132</v>
      </c>
    </row>
    <row r="23" customFormat="false" ht="28" hidden="false" customHeight="true" outlineLevel="0" collapsed="false">
      <c r="A23" s="11" t="s">
        <v>1133</v>
      </c>
      <c r="B23" s="12" t="n">
        <f aca="false">B15*(B8+B13)/B7</f>
        <v>0.161184210526316</v>
      </c>
      <c r="C23" s="5" t="s">
        <v>194</v>
      </c>
      <c r="D23" s="6" t="s">
        <v>818</v>
      </c>
      <c r="E23" s="6" t="s">
        <v>819</v>
      </c>
      <c r="F23" s="7" t="s">
        <v>998</v>
      </c>
    </row>
    <row r="24" customFormat="false" ht="28" hidden="false" customHeight="true" outlineLevel="0" collapsed="false">
      <c r="A24" s="11" t="s">
        <v>999</v>
      </c>
      <c r="B24" s="12" t="n">
        <f aca="false">B9*(B11/100)</f>
        <v>3.75</v>
      </c>
      <c r="C24" s="5" t="s">
        <v>233</v>
      </c>
      <c r="D24" s="6" t="s">
        <v>234</v>
      </c>
      <c r="E24" s="6" t="s">
        <v>235</v>
      </c>
      <c r="F24" s="7" t="s">
        <v>955</v>
      </c>
    </row>
    <row r="25" customFormat="false" ht="28" hidden="false" customHeight="true" outlineLevel="0" collapsed="false">
      <c r="A25" s="11" t="s">
        <v>822</v>
      </c>
      <c r="B25" s="12" t="n">
        <f aca="false">(((B7/(2*B15))-B8-B13)*B23)/(B24*B10*1000)*1000000</f>
        <v>18.4466374269006</v>
      </c>
      <c r="C25" s="5" t="s">
        <v>238</v>
      </c>
      <c r="D25" s="6" t="s">
        <v>1134</v>
      </c>
      <c r="E25" s="6" t="s">
        <v>1135</v>
      </c>
      <c r="F25" s="7" t="s">
        <v>1136</v>
      </c>
    </row>
    <row r="26" customFormat="false" ht="28" hidden="false" customHeight="true" outlineLevel="0" collapsed="false">
      <c r="A26" s="11" t="s">
        <v>770</v>
      </c>
      <c r="B26" s="12" t="n">
        <f aca="false">B7</f>
        <v>380</v>
      </c>
      <c r="C26" s="5" t="s">
        <v>150</v>
      </c>
      <c r="D26" s="6" t="s">
        <v>957</v>
      </c>
      <c r="E26" s="6" t="s">
        <v>772</v>
      </c>
      <c r="F26" s="7" t="s">
        <v>1137</v>
      </c>
    </row>
    <row r="27" customFormat="false" ht="28" hidden="false" customHeight="true" outlineLevel="0" collapsed="false">
      <c r="A27" s="11" t="s">
        <v>766</v>
      </c>
      <c r="B27" s="12" t="n">
        <f aca="false">(B9 + B24/2)/B15</f>
        <v>6.75</v>
      </c>
      <c r="C27" s="5" t="s">
        <v>167</v>
      </c>
      <c r="D27" s="6" t="s">
        <v>1007</v>
      </c>
      <c r="E27" s="6" t="s">
        <v>1008</v>
      </c>
      <c r="F27" s="7" t="s">
        <v>1138</v>
      </c>
    </row>
    <row r="28" customFormat="false" ht="28" hidden="false" customHeight="true" outlineLevel="0" collapsed="false">
      <c r="A28" s="11" t="s">
        <v>768</v>
      </c>
      <c r="B28" s="12" t="n">
        <f aca="false">(B9/B15)*SQRT(B22)</f>
        <v>3.16586911806652</v>
      </c>
      <c r="C28" s="5" t="s">
        <v>247</v>
      </c>
      <c r="D28" s="6" t="s">
        <v>909</v>
      </c>
      <c r="E28" s="6" t="s">
        <v>910</v>
      </c>
      <c r="F28" s="7" t="s">
        <v>1139</v>
      </c>
    </row>
    <row r="29" customFormat="false" ht="28" hidden="false" customHeight="true" outlineLevel="0" collapsed="false">
      <c r="A29" s="11" t="s">
        <v>1140</v>
      </c>
      <c r="B29" s="12" t="n">
        <f aca="false">(B9/B15)*SQRT(2*B22)</f>
        <v>4.47721504346782</v>
      </c>
      <c r="C29" s="5" t="s">
        <v>247</v>
      </c>
      <c r="D29" s="6" t="s">
        <v>1141</v>
      </c>
      <c r="E29" s="6" t="s">
        <v>1142</v>
      </c>
      <c r="F29" s="7" t="s">
        <v>1143</v>
      </c>
    </row>
    <row r="30" customFormat="false" ht="28" hidden="false" customHeight="true" outlineLevel="0" collapsed="false">
      <c r="A30" s="11" t="s">
        <v>1144</v>
      </c>
      <c r="B30" s="12" t="n">
        <f aca="false">B7/B15</f>
        <v>152</v>
      </c>
      <c r="C30" s="5" t="s">
        <v>150</v>
      </c>
      <c r="D30" s="6" t="s">
        <v>917</v>
      </c>
      <c r="E30" s="6" t="s">
        <v>918</v>
      </c>
      <c r="F30" s="7" t="s">
        <v>1145</v>
      </c>
    </row>
    <row r="31" customFormat="false" ht="28" hidden="false" customHeight="true" outlineLevel="0" collapsed="false">
      <c r="A31" s="11" t="s">
        <v>1146</v>
      </c>
      <c r="B31" s="12" t="n">
        <f aca="false">B29/2</f>
        <v>2.23860752173391</v>
      </c>
      <c r="C31" s="5" t="s">
        <v>247</v>
      </c>
      <c r="D31" s="6" t="s">
        <v>1147</v>
      </c>
      <c r="E31" s="6" t="s">
        <v>1148</v>
      </c>
      <c r="F31" s="7" t="s">
        <v>1149</v>
      </c>
    </row>
    <row r="32" customFormat="false" ht="28" hidden="false" customHeight="true" outlineLevel="0" collapsed="false">
      <c r="A32" s="11" t="s">
        <v>263</v>
      </c>
      <c r="B32" s="12" t="n">
        <f aca="false">B24/SQRT(12)</f>
        <v>1.08253175473055</v>
      </c>
      <c r="C32" s="5" t="s">
        <v>247</v>
      </c>
      <c r="D32" s="6" t="s">
        <v>850</v>
      </c>
      <c r="E32" s="6" t="s">
        <v>851</v>
      </c>
      <c r="F32" s="7" t="s">
        <v>542</v>
      </c>
    </row>
    <row r="33" customFormat="false" ht="28" hidden="false" customHeight="true" outlineLevel="0" collapsed="false">
      <c r="A33" s="11" t="s">
        <v>1017</v>
      </c>
      <c r="B33" s="12" t="n">
        <f aca="false">(B24/(16*(B10*1000)*(B8*(B12/100))))*1000000</f>
        <v>8.13802083333333</v>
      </c>
      <c r="C33" s="5" t="s">
        <v>272</v>
      </c>
      <c r="D33" s="6" t="s">
        <v>1150</v>
      </c>
      <c r="E33" s="6" t="s">
        <v>1151</v>
      </c>
      <c r="F33" s="7" t="s">
        <v>1152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64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1153</v>
      </c>
      <c r="B36" s="12" t="n">
        <f aca="false">(((B9/B15)*B22)/((B10*1000)*(0.02*B6)))*1000000</f>
        <v>3.16373966942149</v>
      </c>
      <c r="C36" s="5" t="s">
        <v>272</v>
      </c>
      <c r="D36" s="6" t="s">
        <v>1154</v>
      </c>
      <c r="E36" s="6" t="s">
        <v>1155</v>
      </c>
      <c r="F36" s="7" t="s">
        <v>1156</v>
      </c>
    </row>
    <row r="37" customFormat="false" ht="28" hidden="false" customHeight="true" outlineLevel="0" collapsed="false">
      <c r="A37" s="11" t="s">
        <v>1024</v>
      </c>
      <c r="B37" s="12" t="n">
        <f aca="false">(B20/(0.3*(2*B17)*(B18*1000000)*(B10*1000)))*100000000</f>
        <v>0.444444444444444</v>
      </c>
      <c r="C37" s="5" t="s">
        <v>286</v>
      </c>
      <c r="D37" s="6" t="s">
        <v>1105</v>
      </c>
      <c r="E37" s="6" t="s">
        <v>1025</v>
      </c>
      <c r="F37" s="7" t="s">
        <v>1157</v>
      </c>
    </row>
    <row r="38" customFormat="false" ht="28" hidden="false" customHeight="true" outlineLevel="0" collapsed="false">
      <c r="A38" s="11" t="s">
        <v>877</v>
      </c>
      <c r="B38" s="12" t="n">
        <f aca="false">(((B25/1000000)*(B9+B24/2)*B9)/(0.35*B17*(B18*1000000)))*100000000</f>
        <v>1.18585526315789</v>
      </c>
      <c r="C38" s="5" t="s">
        <v>286</v>
      </c>
      <c r="D38" s="6" t="s">
        <v>878</v>
      </c>
      <c r="E38" s="6" t="s">
        <v>879</v>
      </c>
      <c r="F38" s="7" t="s">
        <v>1036</v>
      </c>
    </row>
    <row r="39" customFormat="false" ht="28" hidden="false" customHeight="true" outlineLevel="0" collapsed="false">
      <c r="A39" s="11" t="s">
        <v>869</v>
      </c>
      <c r="B39" s="12" t="n">
        <f aca="false">1/(2*3.14159265*SQRT((B25/1000000)*(B33/1000000)))/1000</f>
        <v>12.9897899267124</v>
      </c>
      <c r="C39" s="5" t="s">
        <v>172</v>
      </c>
      <c r="D39" s="6" t="s">
        <v>870</v>
      </c>
      <c r="E39" s="6" t="s">
        <v>871</v>
      </c>
      <c r="F39" s="7" t="s">
        <v>1158</v>
      </c>
    </row>
    <row r="40" customFormat="false" ht="28" hidden="false" customHeight="true" outlineLevel="0" collapsed="false">
      <c r="A40" s="11" t="s">
        <v>1159</v>
      </c>
      <c r="B40" s="12" t="n">
        <f aca="false">((0.5 - B22)/(B10*1000))*1000000</f>
        <v>1.84659090909091</v>
      </c>
      <c r="C40" s="5" t="s">
        <v>922</v>
      </c>
      <c r="D40" s="6" t="s">
        <v>1028</v>
      </c>
      <c r="E40" s="6" t="s">
        <v>1029</v>
      </c>
      <c r="F40" s="7" t="s">
        <v>1160</v>
      </c>
    </row>
    <row r="41" customFormat="false" ht="28" hidden="false" customHeight="true" outlineLevel="0" collapsed="false">
      <c r="A41" s="11" t="s">
        <v>795</v>
      </c>
      <c r="B41" s="12" t="n">
        <f aca="false">2*(B28^2)*(B16/1000)</f>
        <v>1.90431818181818</v>
      </c>
      <c r="C41" s="5" t="s">
        <v>215</v>
      </c>
      <c r="D41" s="6" t="s">
        <v>796</v>
      </c>
      <c r="E41" s="6" t="s">
        <v>1037</v>
      </c>
      <c r="F41" s="7" t="s">
        <v>1161</v>
      </c>
    </row>
    <row r="42" customFormat="false" ht="28" hidden="false" customHeight="true" outlineLevel="0" collapsed="false">
      <c r="A42" s="11" t="s">
        <v>799</v>
      </c>
      <c r="B42" s="12" t="n">
        <f aca="false">2*0.5*B5*(B9/B15)*(22/1000000000)*(B10*1000)</f>
        <v>4.9104</v>
      </c>
      <c r="C42" s="5" t="s">
        <v>215</v>
      </c>
      <c r="D42" s="6" t="s">
        <v>1162</v>
      </c>
      <c r="E42" s="6" t="s">
        <v>1163</v>
      </c>
      <c r="F42" s="7" t="s">
        <v>1041</v>
      </c>
    </row>
    <row r="43" customFormat="false" ht="28" hidden="false" customHeight="true" outlineLevel="0" collapsed="false">
      <c r="A43" s="11" t="s">
        <v>1042</v>
      </c>
      <c r="B43" s="12" t="n">
        <f aca="false">B9*B13</f>
        <v>7.5</v>
      </c>
      <c r="C43" s="5" t="s">
        <v>215</v>
      </c>
      <c r="D43" s="6" t="s">
        <v>946</v>
      </c>
      <c r="E43" s="6" t="s">
        <v>887</v>
      </c>
      <c r="F43" s="7" t="s">
        <v>982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29.1891891891892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805</v>
      </c>
      <c r="B45" s="12" t="n">
        <f aca="false">B29/B18</f>
        <v>0.994936676326182</v>
      </c>
      <c r="C45" s="5" t="s">
        <v>320</v>
      </c>
      <c r="D45" s="6" t="s">
        <v>1164</v>
      </c>
      <c r="E45" s="6" t="s">
        <v>1165</v>
      </c>
      <c r="F45" s="7" t="s">
        <v>1166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1167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1168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380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300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420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48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25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0.8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94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5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65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1200</v>
      </c>
      <c r="C20" s="5" t="s">
        <v>215</v>
      </c>
      <c r="D20" s="6" t="s">
        <v>216</v>
      </c>
      <c r="E20" s="6" t="s">
        <v>217</v>
      </c>
      <c r="F20" s="7" t="s">
        <v>1169</v>
      </c>
    </row>
    <row r="21" customFormat="false" ht="28" hidden="false" customHeight="true" outlineLevel="0" collapsed="false">
      <c r="A21" s="11" t="s">
        <v>1170</v>
      </c>
      <c r="B21" s="12" t="n">
        <f aca="false">B15*(B8+B13)/(2*B5)</f>
        <v>0.319078947368421</v>
      </c>
      <c r="C21" s="5" t="s">
        <v>757</v>
      </c>
      <c r="D21" s="6" t="s">
        <v>1171</v>
      </c>
      <c r="E21" s="6" t="s">
        <v>989</v>
      </c>
      <c r="F21" s="7" t="s">
        <v>1172</v>
      </c>
    </row>
    <row r="22" customFormat="false" ht="28" hidden="false" customHeight="true" outlineLevel="0" collapsed="false">
      <c r="A22" s="11" t="s">
        <v>224</v>
      </c>
      <c r="B22" s="12" t="n">
        <f aca="false">B15*(B8+B13)/(2*B6)</f>
        <v>0.404166666666667</v>
      </c>
      <c r="C22" s="5" t="s">
        <v>757</v>
      </c>
      <c r="D22" s="6" t="s">
        <v>992</v>
      </c>
      <c r="E22" s="6" t="s">
        <v>993</v>
      </c>
      <c r="F22" s="7" t="s">
        <v>1173</v>
      </c>
    </row>
    <row r="23" customFormat="false" ht="28" hidden="false" customHeight="true" outlineLevel="0" collapsed="false">
      <c r="A23" s="11" t="s">
        <v>228</v>
      </c>
      <c r="B23" s="12" t="n">
        <f aca="false">B15*(B8+B13)/(2*B7)</f>
        <v>0.288690476190476</v>
      </c>
      <c r="C23" s="5" t="s">
        <v>194</v>
      </c>
      <c r="D23" s="6" t="s">
        <v>996</v>
      </c>
      <c r="E23" s="6" t="s">
        <v>997</v>
      </c>
      <c r="F23" s="7" t="s">
        <v>336</v>
      </c>
    </row>
    <row r="24" customFormat="false" ht="28" hidden="false" customHeight="true" outlineLevel="0" collapsed="false">
      <c r="A24" s="11" t="s">
        <v>999</v>
      </c>
      <c r="B24" s="12" t="n">
        <f aca="false">B9*(B11/100)</f>
        <v>5</v>
      </c>
      <c r="C24" s="5" t="s">
        <v>233</v>
      </c>
      <c r="D24" s="6" t="s">
        <v>234</v>
      </c>
      <c r="E24" s="6" t="s">
        <v>235</v>
      </c>
      <c r="F24" s="7" t="s">
        <v>1174</v>
      </c>
    </row>
    <row r="25" customFormat="false" ht="28" hidden="false" customHeight="true" outlineLevel="0" collapsed="false">
      <c r="A25" s="11" t="s">
        <v>822</v>
      </c>
      <c r="B25" s="12" t="n">
        <f aca="false">(((B7/B15)-B8-B13)*B23)/(B24*B10*1000)*1000000</f>
        <v>20.4970238095238</v>
      </c>
      <c r="C25" s="5" t="s">
        <v>238</v>
      </c>
      <c r="D25" s="6" t="s">
        <v>1001</v>
      </c>
      <c r="E25" s="6" t="s">
        <v>824</v>
      </c>
      <c r="F25" s="7" t="s">
        <v>1175</v>
      </c>
    </row>
    <row r="26" customFormat="false" ht="28" hidden="false" customHeight="true" outlineLevel="0" collapsed="false">
      <c r="A26" s="11" t="s">
        <v>1176</v>
      </c>
      <c r="B26" s="12" t="n">
        <f aca="false">B7</f>
        <v>420</v>
      </c>
      <c r="C26" s="5" t="s">
        <v>150</v>
      </c>
      <c r="D26" s="6" t="s">
        <v>957</v>
      </c>
      <c r="E26" s="6" t="s">
        <v>772</v>
      </c>
      <c r="F26" s="7" t="s">
        <v>1177</v>
      </c>
    </row>
    <row r="27" customFormat="false" ht="28" hidden="false" customHeight="true" outlineLevel="0" collapsed="false">
      <c r="A27" s="11" t="s">
        <v>1178</v>
      </c>
      <c r="B27" s="12" t="n">
        <f aca="false">(B9 + B24/2)/B15</f>
        <v>5.5</v>
      </c>
      <c r="C27" s="5" t="s">
        <v>167</v>
      </c>
      <c r="D27" s="6" t="s">
        <v>1007</v>
      </c>
      <c r="E27" s="6" t="s">
        <v>1008</v>
      </c>
      <c r="F27" s="7" t="s">
        <v>1179</v>
      </c>
    </row>
    <row r="28" customFormat="false" ht="28" hidden="false" customHeight="true" outlineLevel="0" collapsed="false">
      <c r="A28" s="11" t="s">
        <v>1180</v>
      </c>
      <c r="B28" s="12" t="n">
        <f aca="false">(B9/B15)*SQRT(B22)</f>
        <v>3.17870518712678</v>
      </c>
      <c r="C28" s="5" t="s">
        <v>247</v>
      </c>
      <c r="D28" s="6" t="s">
        <v>909</v>
      </c>
      <c r="E28" s="6" t="s">
        <v>910</v>
      </c>
      <c r="F28" s="7" t="s">
        <v>1181</v>
      </c>
    </row>
    <row r="29" customFormat="false" ht="28" hidden="false" customHeight="true" outlineLevel="0" collapsed="false">
      <c r="A29" s="11" t="s">
        <v>1182</v>
      </c>
      <c r="B29" s="12" t="n">
        <f aca="false">(B9/B15)*SQRT(2*B22)</f>
        <v>4.49536798642039</v>
      </c>
      <c r="C29" s="5" t="s">
        <v>247</v>
      </c>
      <c r="D29" s="6" t="s">
        <v>1183</v>
      </c>
      <c r="E29" s="6" t="s">
        <v>1142</v>
      </c>
      <c r="F29" s="7" t="s">
        <v>1184</v>
      </c>
    </row>
    <row r="30" customFormat="false" ht="28" hidden="false" customHeight="true" outlineLevel="0" collapsed="false">
      <c r="A30" s="11" t="s">
        <v>1185</v>
      </c>
      <c r="B30" s="12" t="n">
        <f aca="false">2*B7/B15</f>
        <v>168</v>
      </c>
      <c r="C30" s="5" t="s">
        <v>150</v>
      </c>
      <c r="D30" s="6" t="s">
        <v>1186</v>
      </c>
      <c r="E30" s="6" t="s">
        <v>1015</v>
      </c>
      <c r="F30" s="7" t="s">
        <v>1187</v>
      </c>
    </row>
    <row r="31" customFormat="false" ht="28" hidden="false" customHeight="true" outlineLevel="0" collapsed="false">
      <c r="A31" s="11" t="s">
        <v>267</v>
      </c>
      <c r="B31" s="12" t="n">
        <f aca="false">(B9/B15)*SQRT(2*B22*(1 - 2*B22))</f>
        <v>1.96806094643659</v>
      </c>
      <c r="C31" s="5" t="s">
        <v>247</v>
      </c>
      <c r="D31" s="6" t="s">
        <v>1021</v>
      </c>
      <c r="E31" s="6" t="s">
        <v>1022</v>
      </c>
      <c r="F31" s="7" t="s">
        <v>1188</v>
      </c>
    </row>
    <row r="32" customFormat="false" ht="28" hidden="false" customHeight="true" outlineLevel="0" collapsed="false">
      <c r="A32" s="11" t="s">
        <v>263</v>
      </c>
      <c r="B32" s="12" t="n">
        <f aca="false">B24/SQRT(12)</f>
        <v>1.44337567297406</v>
      </c>
      <c r="C32" s="5" t="s">
        <v>247</v>
      </c>
      <c r="D32" s="6" t="s">
        <v>850</v>
      </c>
      <c r="E32" s="6" t="s">
        <v>851</v>
      </c>
      <c r="F32" s="7" t="s">
        <v>542</v>
      </c>
    </row>
    <row r="33" customFormat="false" ht="28" hidden="false" customHeight="true" outlineLevel="0" collapsed="false">
      <c r="A33" s="11" t="s">
        <v>1017</v>
      </c>
      <c r="B33" s="12" t="n">
        <f aca="false">(B24/(16*(B10*1000)*(B8*(B12/100))))*1000000</f>
        <v>8.13802083333333</v>
      </c>
      <c r="C33" s="5" t="s">
        <v>272</v>
      </c>
      <c r="D33" s="6" t="s">
        <v>1150</v>
      </c>
      <c r="E33" s="6" t="s">
        <v>1151</v>
      </c>
      <c r="F33" s="7" t="s">
        <v>708</v>
      </c>
    </row>
    <row r="34" customFormat="false" ht="28" hidden="false" customHeight="true" outlineLevel="0" collapsed="false">
      <c r="A34" s="11" t="s">
        <v>709</v>
      </c>
      <c r="B34" s="12" t="n">
        <f aca="false">((B8*(B12/100))/B24)*1000</f>
        <v>76.8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1189</v>
      </c>
      <c r="B36" s="12" t="n">
        <f aca="false">((B9/B15)*B22)/((B10*1000)*(0.015*B6))*1000000</f>
        <v>4.49074074074074</v>
      </c>
      <c r="C36" s="5" t="s">
        <v>272</v>
      </c>
      <c r="D36" s="6" t="s">
        <v>1190</v>
      </c>
      <c r="E36" s="6" t="s">
        <v>1191</v>
      </c>
      <c r="F36" s="7" t="s">
        <v>1192</v>
      </c>
    </row>
    <row r="37" customFormat="false" ht="28" hidden="false" customHeight="true" outlineLevel="0" collapsed="false">
      <c r="A37" s="11" t="s">
        <v>1024</v>
      </c>
      <c r="B37" s="12" t="n">
        <f aca="false">(B20/(0.32*(2*B17)*(B18*1000000)*(B10*1000)))*100000000</f>
        <v>1.66666666666667</v>
      </c>
      <c r="C37" s="5" t="s">
        <v>286</v>
      </c>
      <c r="D37" s="6" t="s">
        <v>1105</v>
      </c>
      <c r="E37" s="6" t="s">
        <v>1025</v>
      </c>
      <c r="F37" s="7" t="s">
        <v>1193</v>
      </c>
    </row>
    <row r="38" customFormat="false" ht="28" hidden="false" customHeight="true" outlineLevel="0" collapsed="false">
      <c r="A38" s="11" t="s">
        <v>877</v>
      </c>
      <c r="B38" s="12" t="n">
        <f aca="false">(((B25/1000000)*(B9+B24/2)*B9)/(0.35*B17*(B18*1000000)))*100000000</f>
        <v>3.57884542705971</v>
      </c>
      <c r="C38" s="5" t="s">
        <v>286</v>
      </c>
      <c r="D38" s="6" t="s">
        <v>878</v>
      </c>
      <c r="E38" s="6" t="s">
        <v>879</v>
      </c>
      <c r="F38" s="7" t="s">
        <v>1194</v>
      </c>
    </row>
    <row r="39" customFormat="false" ht="28" hidden="false" customHeight="true" outlineLevel="0" collapsed="false">
      <c r="A39" s="11" t="s">
        <v>869</v>
      </c>
      <c r="B39" s="12" t="n">
        <f aca="false">1/(2*3.14159265*SQRT((B25/1000000)*(B33/1000000)))/1000</f>
        <v>12.3229682828241</v>
      </c>
      <c r="C39" s="5" t="s">
        <v>172</v>
      </c>
      <c r="D39" s="6" t="s">
        <v>870</v>
      </c>
      <c r="E39" s="6" t="s">
        <v>871</v>
      </c>
      <c r="F39" s="7" t="s">
        <v>1158</v>
      </c>
    </row>
    <row r="40" customFormat="false" ht="28" hidden="false" customHeight="true" outlineLevel="0" collapsed="false">
      <c r="A40" s="11" t="s">
        <v>1195</v>
      </c>
      <c r="B40" s="12" t="n">
        <f aca="false">B10/6</f>
        <v>16.6666666666667</v>
      </c>
      <c r="C40" s="5" t="s">
        <v>172</v>
      </c>
      <c r="D40" s="6" t="s">
        <v>1196</v>
      </c>
      <c r="E40" s="6" t="s">
        <v>1197</v>
      </c>
      <c r="F40" s="7" t="s">
        <v>1198</v>
      </c>
    </row>
    <row r="41" customFormat="false" ht="28" hidden="false" customHeight="true" outlineLevel="0" collapsed="false">
      <c r="A41" s="11" t="s">
        <v>1199</v>
      </c>
      <c r="B41" s="12" t="n">
        <f aca="false">4*(B28^2)*(B16/1000)</f>
        <v>2.62708333333333</v>
      </c>
      <c r="C41" s="5" t="s">
        <v>215</v>
      </c>
      <c r="D41" s="6" t="s">
        <v>1200</v>
      </c>
      <c r="E41" s="6" t="s">
        <v>1201</v>
      </c>
      <c r="F41" s="7" t="s">
        <v>1202</v>
      </c>
    </row>
    <row r="42" customFormat="false" ht="28" hidden="false" customHeight="true" outlineLevel="0" collapsed="false">
      <c r="A42" s="11" t="s">
        <v>1203</v>
      </c>
      <c r="B42" s="12" t="n">
        <f aca="false">4*0.5*B5*(B9/B15)*(22/1000000000)*(B10*1000)</f>
        <v>8.36</v>
      </c>
      <c r="C42" s="5" t="s">
        <v>215</v>
      </c>
      <c r="D42" s="6" t="s">
        <v>1204</v>
      </c>
      <c r="E42" s="6" t="s">
        <v>1205</v>
      </c>
      <c r="F42" s="7" t="s">
        <v>1206</v>
      </c>
    </row>
    <row r="43" customFormat="false" ht="28" hidden="false" customHeight="true" outlineLevel="0" collapsed="false">
      <c r="A43" s="11" t="s">
        <v>1207</v>
      </c>
      <c r="B43" s="12" t="n">
        <f aca="false">B9*B13</f>
        <v>12.5</v>
      </c>
      <c r="C43" s="5" t="s">
        <v>215</v>
      </c>
      <c r="D43" s="6" t="s">
        <v>946</v>
      </c>
      <c r="E43" s="6" t="s">
        <v>887</v>
      </c>
      <c r="F43" s="7" t="s">
        <v>1208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76.595744680851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805</v>
      </c>
      <c r="B45" s="12" t="n">
        <f aca="false">B29/B18</f>
        <v>0.998970663648976</v>
      </c>
      <c r="C45" s="5" t="s">
        <v>320</v>
      </c>
      <c r="D45" s="6" t="s">
        <v>1164</v>
      </c>
      <c r="E45" s="6" t="s">
        <v>1165</v>
      </c>
      <c r="F45" s="7" t="s">
        <v>1166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3046875" defaultRowHeight="12.8" customHeight="false" zeroHeight="false" outlineLevelRow="0" outlineLevelCol="0"/>
  <cols>
    <col collapsed="false" customWidth="true" hidden="false" outlineLevel="0" max="1" min="1" style="0" width="45.19"/>
    <col collapsed="false" customWidth="true" hidden="false" outlineLevel="0" max="2" min="2" style="0" width="18.49"/>
    <col collapsed="false" customWidth="true" hidden="false" outlineLevel="0" max="3" min="3" style="0" width="12.32"/>
    <col collapsed="false" customWidth="true" hidden="false" outlineLevel="0" max="4" min="4" style="0" width="47.24"/>
    <col collapsed="false" customWidth="true" hidden="false" outlineLevel="0" max="5" min="5" style="0" width="53.4"/>
    <col collapsed="false" customWidth="true" hidden="false" outlineLevel="0" max="6" min="6" style="0" width="63.67"/>
  </cols>
  <sheetData>
    <row r="1" customFormat="false" ht="34" hidden="false" customHeight="true" outlineLevel="0" collapsed="false">
      <c r="A1" s="1" t="s">
        <v>1209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1210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142</v>
      </c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</row>
    <row r="4" customFormat="false" ht="25" hidden="false" customHeight="true" outlineLevel="0" collapsed="false">
      <c r="A4" s="8" t="s">
        <v>148</v>
      </c>
      <c r="B4" s="8"/>
      <c r="C4" s="8"/>
      <c r="D4" s="8"/>
      <c r="E4" s="8"/>
      <c r="F4" s="8"/>
    </row>
    <row r="5" customFormat="false" ht="24" hidden="false" customHeight="true" outlineLevel="0" collapsed="false">
      <c r="A5" s="4" t="s">
        <v>149</v>
      </c>
      <c r="B5" s="9" t="n">
        <v>380</v>
      </c>
      <c r="C5" s="5" t="s">
        <v>150</v>
      </c>
      <c r="D5" s="6" t="s">
        <v>151</v>
      </c>
      <c r="E5" s="6" t="s">
        <v>152</v>
      </c>
      <c r="F5" s="7" t="s">
        <v>153</v>
      </c>
    </row>
    <row r="6" customFormat="false" ht="24" hidden="false" customHeight="true" outlineLevel="0" collapsed="false">
      <c r="A6" s="4" t="s">
        <v>154</v>
      </c>
      <c r="B6" s="9" t="n">
        <v>320</v>
      </c>
      <c r="C6" s="5" t="s">
        <v>150</v>
      </c>
      <c r="D6" s="6" t="s">
        <v>155</v>
      </c>
      <c r="E6" s="6" t="s">
        <v>156</v>
      </c>
      <c r="F6" s="7" t="s">
        <v>157</v>
      </c>
    </row>
    <row r="7" customFormat="false" ht="24" hidden="false" customHeight="true" outlineLevel="0" collapsed="false">
      <c r="A7" s="4" t="s">
        <v>158</v>
      </c>
      <c r="B7" s="9" t="n">
        <v>420</v>
      </c>
      <c r="C7" s="5" t="s">
        <v>150</v>
      </c>
      <c r="D7" s="6" t="s">
        <v>159</v>
      </c>
      <c r="E7" s="6" t="s">
        <v>160</v>
      </c>
      <c r="F7" s="7" t="s">
        <v>161</v>
      </c>
    </row>
    <row r="8" customFormat="false" ht="24" hidden="false" customHeight="true" outlineLevel="0" collapsed="false">
      <c r="A8" s="4" t="s">
        <v>162</v>
      </c>
      <c r="B8" s="9" t="n">
        <v>48</v>
      </c>
      <c r="C8" s="5" t="s">
        <v>150</v>
      </c>
      <c r="D8" s="6" t="s">
        <v>163</v>
      </c>
      <c r="E8" s="6" t="s">
        <v>164</v>
      </c>
      <c r="F8" s="7" t="s">
        <v>165</v>
      </c>
    </row>
    <row r="9" customFormat="false" ht="24" hidden="false" customHeight="true" outlineLevel="0" collapsed="false">
      <c r="A9" s="4" t="s">
        <v>166</v>
      </c>
      <c r="B9" s="9" t="n">
        <v>40</v>
      </c>
      <c r="C9" s="5" t="s">
        <v>167</v>
      </c>
      <c r="D9" s="6" t="s">
        <v>168</v>
      </c>
      <c r="E9" s="6" t="s">
        <v>169</v>
      </c>
      <c r="F9" s="7" t="s">
        <v>170</v>
      </c>
    </row>
    <row r="10" customFormat="false" ht="24" hidden="false" customHeight="true" outlineLevel="0" collapsed="false">
      <c r="A10" s="4" t="s">
        <v>171</v>
      </c>
      <c r="B10" s="9" t="n">
        <v>100</v>
      </c>
      <c r="C10" s="5" t="s">
        <v>172</v>
      </c>
      <c r="D10" s="6" t="s">
        <v>173</v>
      </c>
      <c r="E10" s="6" t="s">
        <v>174</v>
      </c>
      <c r="F10" s="7" t="s">
        <v>175</v>
      </c>
    </row>
    <row r="11" customFormat="false" ht="24" hidden="false" customHeight="true" outlineLevel="0" collapsed="false">
      <c r="A11" s="4" t="s">
        <v>176</v>
      </c>
      <c r="B11" s="9" t="n">
        <v>20</v>
      </c>
      <c r="C11" s="5" t="s">
        <v>177</v>
      </c>
      <c r="D11" s="6" t="s">
        <v>178</v>
      </c>
      <c r="E11" s="6" t="s">
        <v>179</v>
      </c>
      <c r="F11" s="7" t="s">
        <v>180</v>
      </c>
    </row>
    <row r="12" customFormat="false" ht="24" hidden="false" customHeight="true" outlineLevel="0" collapsed="false">
      <c r="A12" s="4" t="s">
        <v>181</v>
      </c>
      <c r="B12" s="9" t="n">
        <v>0.5</v>
      </c>
      <c r="C12" s="5" t="s">
        <v>177</v>
      </c>
      <c r="D12" s="6" t="s">
        <v>182</v>
      </c>
      <c r="E12" s="6" t="s">
        <v>183</v>
      </c>
      <c r="F12" s="7" t="s">
        <v>184</v>
      </c>
    </row>
    <row r="13" customFormat="false" ht="24" hidden="false" customHeight="true" outlineLevel="0" collapsed="false">
      <c r="A13" s="4" t="s">
        <v>185</v>
      </c>
      <c r="B13" s="9" t="n">
        <v>0.15</v>
      </c>
      <c r="C13" s="5" t="s">
        <v>150</v>
      </c>
      <c r="D13" s="6" t="s">
        <v>186</v>
      </c>
      <c r="E13" s="6" t="s">
        <v>187</v>
      </c>
      <c r="F13" s="7" t="s">
        <v>188</v>
      </c>
    </row>
    <row r="14" customFormat="false" ht="24" hidden="false" customHeight="true" outlineLevel="0" collapsed="false">
      <c r="A14" s="4" t="s">
        <v>189</v>
      </c>
      <c r="B14" s="9" t="n">
        <v>96</v>
      </c>
      <c r="C14" s="5" t="s">
        <v>177</v>
      </c>
      <c r="D14" s="6" t="s">
        <v>190</v>
      </c>
      <c r="E14" s="6" t="s">
        <v>191</v>
      </c>
      <c r="F14" s="7" t="s">
        <v>192</v>
      </c>
    </row>
    <row r="15" customFormat="false" ht="24" hidden="false" customHeight="true" outlineLevel="0" collapsed="false">
      <c r="A15" s="4" t="s">
        <v>193</v>
      </c>
      <c r="B15" s="9" t="n">
        <v>5</v>
      </c>
      <c r="C15" s="5" t="s">
        <v>194</v>
      </c>
      <c r="D15" s="6" t="s">
        <v>195</v>
      </c>
      <c r="E15" s="6" t="s">
        <v>196</v>
      </c>
      <c r="F15" s="7" t="s">
        <v>197</v>
      </c>
    </row>
    <row r="16" customFormat="false" ht="24" hidden="false" customHeight="true" outlineLevel="0" collapsed="false">
      <c r="A16" s="4" t="s">
        <v>198</v>
      </c>
      <c r="B16" s="9" t="n">
        <v>45</v>
      </c>
      <c r="C16" s="5" t="s">
        <v>199</v>
      </c>
      <c r="D16" s="6" t="s">
        <v>200</v>
      </c>
      <c r="E16" s="6" t="s">
        <v>201</v>
      </c>
      <c r="F16" s="7" t="s">
        <v>202</v>
      </c>
    </row>
    <row r="17" customFormat="false" ht="24" hidden="false" customHeight="true" outlineLevel="0" collapsed="false">
      <c r="A17" s="4" t="s">
        <v>203</v>
      </c>
      <c r="B17" s="9" t="n">
        <v>0.25</v>
      </c>
      <c r="C17" s="5" t="s">
        <v>204</v>
      </c>
      <c r="D17" s="6" t="s">
        <v>205</v>
      </c>
      <c r="E17" s="6" t="s">
        <v>206</v>
      </c>
      <c r="F17" s="7" t="s">
        <v>207</v>
      </c>
    </row>
    <row r="18" customFormat="false" ht="24" hidden="false" customHeight="true" outlineLevel="0" collapsed="false">
      <c r="A18" s="4" t="s">
        <v>208</v>
      </c>
      <c r="B18" s="9" t="n">
        <v>4.5</v>
      </c>
      <c r="C18" s="5" t="s">
        <v>209</v>
      </c>
      <c r="D18" s="6" t="s">
        <v>210</v>
      </c>
      <c r="E18" s="6" t="s">
        <v>211</v>
      </c>
      <c r="F18" s="7" t="s">
        <v>212</v>
      </c>
    </row>
    <row r="19" customFormat="false" ht="26" hidden="false" customHeight="true" outlineLevel="0" collapsed="false">
      <c r="A19" s="10" t="s">
        <v>213</v>
      </c>
      <c r="B19" s="10"/>
      <c r="C19" s="10"/>
      <c r="D19" s="10"/>
      <c r="E19" s="10"/>
      <c r="F19" s="10"/>
    </row>
    <row r="20" customFormat="false" ht="28" hidden="false" customHeight="true" outlineLevel="0" collapsed="false">
      <c r="A20" s="11" t="s">
        <v>214</v>
      </c>
      <c r="B20" s="12" t="n">
        <f aca="false">B8*B9</f>
        <v>1920</v>
      </c>
      <c r="C20" s="5" t="s">
        <v>215</v>
      </c>
      <c r="D20" s="6" t="s">
        <v>216</v>
      </c>
      <c r="E20" s="6" t="s">
        <v>217</v>
      </c>
      <c r="F20" s="7" t="s">
        <v>1211</v>
      </c>
    </row>
    <row r="21" customFormat="false" ht="28" hidden="false" customHeight="true" outlineLevel="0" collapsed="false">
      <c r="A21" s="11" t="s">
        <v>1212</v>
      </c>
      <c r="B21" s="12" t="n">
        <f aca="false">B15*(B8+B13)/B5</f>
        <v>0.633552631578947</v>
      </c>
      <c r="C21" s="5" t="s">
        <v>220</v>
      </c>
      <c r="D21" s="6" t="s">
        <v>1213</v>
      </c>
      <c r="E21" s="6" t="s">
        <v>1214</v>
      </c>
      <c r="F21" s="7" t="s">
        <v>1215</v>
      </c>
    </row>
    <row r="22" customFormat="false" ht="28" hidden="false" customHeight="true" outlineLevel="0" collapsed="false">
      <c r="A22" s="11" t="s">
        <v>1216</v>
      </c>
      <c r="B22" s="12" t="n">
        <f aca="false">B15*(B8+B13)/B6</f>
        <v>0.75234375</v>
      </c>
      <c r="C22" s="5" t="s">
        <v>220</v>
      </c>
      <c r="D22" s="6" t="s">
        <v>1217</v>
      </c>
      <c r="E22" s="6" t="s">
        <v>1218</v>
      </c>
      <c r="F22" s="7" t="s">
        <v>1219</v>
      </c>
    </row>
    <row r="23" customFormat="false" ht="28" hidden="false" customHeight="true" outlineLevel="0" collapsed="false">
      <c r="A23" s="11" t="s">
        <v>1220</v>
      </c>
      <c r="B23" s="12" t="n">
        <f aca="false">0.08*B22</f>
        <v>0.0601875</v>
      </c>
      <c r="C23" s="5" t="s">
        <v>194</v>
      </c>
      <c r="D23" s="6" t="s">
        <v>1221</v>
      </c>
      <c r="E23" s="6" t="s">
        <v>1222</v>
      </c>
      <c r="F23" s="7" t="s">
        <v>1223</v>
      </c>
    </row>
    <row r="24" customFormat="false" ht="28" hidden="false" customHeight="true" outlineLevel="0" collapsed="false">
      <c r="A24" s="11" t="s">
        <v>1224</v>
      </c>
      <c r="B24" s="12" t="n">
        <f aca="false">B22+B23</f>
        <v>0.81253125</v>
      </c>
      <c r="C24" s="5" t="s">
        <v>1225</v>
      </c>
      <c r="D24" s="6" t="s">
        <v>1226</v>
      </c>
      <c r="E24" s="6" t="s">
        <v>1227</v>
      </c>
      <c r="F24" s="7" t="s">
        <v>1228</v>
      </c>
    </row>
    <row r="25" customFormat="false" ht="28" hidden="false" customHeight="true" outlineLevel="0" collapsed="false">
      <c r="A25" s="11" t="s">
        <v>999</v>
      </c>
      <c r="B25" s="12" t="n">
        <f aca="false">B9*(B11/100)</f>
        <v>8</v>
      </c>
      <c r="C25" s="5" t="s">
        <v>233</v>
      </c>
      <c r="D25" s="6" t="s">
        <v>234</v>
      </c>
      <c r="E25" s="6" t="s">
        <v>235</v>
      </c>
      <c r="F25" s="7" t="s">
        <v>955</v>
      </c>
    </row>
    <row r="26" customFormat="false" ht="28" hidden="false" customHeight="true" outlineLevel="0" collapsed="false">
      <c r="A26" s="11" t="s">
        <v>1229</v>
      </c>
      <c r="B26" s="12" t="n">
        <f aca="false">(((B7/B15)-B8-B13)*(B21*B5/B7))/(2*B25*B10*1000)*1000000</f>
        <v>12.8435825892857</v>
      </c>
      <c r="C26" s="5" t="s">
        <v>238</v>
      </c>
      <c r="D26" s="6" t="s">
        <v>1230</v>
      </c>
      <c r="E26" s="6" t="s">
        <v>1231</v>
      </c>
      <c r="F26" s="7" t="s">
        <v>901</v>
      </c>
    </row>
    <row r="27" customFormat="false" ht="28" hidden="false" customHeight="true" outlineLevel="0" collapsed="false">
      <c r="A27" s="11" t="s">
        <v>1176</v>
      </c>
      <c r="B27" s="12" t="n">
        <f aca="false">B7</f>
        <v>420</v>
      </c>
      <c r="C27" s="5" t="s">
        <v>150</v>
      </c>
      <c r="D27" s="6" t="s">
        <v>957</v>
      </c>
      <c r="E27" s="6" t="s">
        <v>772</v>
      </c>
      <c r="F27" s="7" t="s">
        <v>1232</v>
      </c>
    </row>
    <row r="28" customFormat="false" ht="28" hidden="false" customHeight="true" outlineLevel="0" collapsed="false">
      <c r="A28" s="11" t="s">
        <v>1233</v>
      </c>
      <c r="B28" s="12" t="n">
        <f aca="false">(B9 + B25/2)/B15</f>
        <v>8.8</v>
      </c>
      <c r="C28" s="5" t="s">
        <v>167</v>
      </c>
      <c r="D28" s="6" t="s">
        <v>1234</v>
      </c>
      <c r="E28" s="6" t="s">
        <v>1235</v>
      </c>
      <c r="F28" s="7" t="s">
        <v>1236</v>
      </c>
    </row>
    <row r="29" customFormat="false" ht="28" hidden="false" customHeight="true" outlineLevel="0" collapsed="false">
      <c r="A29" s="11" t="s">
        <v>1237</v>
      </c>
      <c r="B29" s="12" t="n">
        <f aca="false">(B9/B15)*SQRT(0.5)</f>
        <v>5.65685424949238</v>
      </c>
      <c r="C29" s="5" t="s">
        <v>247</v>
      </c>
      <c r="D29" s="6" t="s">
        <v>1238</v>
      </c>
      <c r="E29" s="6" t="s">
        <v>1239</v>
      </c>
      <c r="F29" s="7" t="s">
        <v>1240</v>
      </c>
    </row>
    <row r="30" customFormat="false" ht="28" hidden="false" customHeight="true" outlineLevel="0" collapsed="false">
      <c r="A30" s="11" t="s">
        <v>1182</v>
      </c>
      <c r="B30" s="12" t="n">
        <f aca="false">(B9/B15)*SQRT(B24 + 0.75*(1-B24))</f>
        <v>7.81028168506105</v>
      </c>
      <c r="C30" s="5" t="s">
        <v>247</v>
      </c>
      <c r="D30" s="6" t="s">
        <v>1241</v>
      </c>
      <c r="E30" s="6" t="s">
        <v>1242</v>
      </c>
      <c r="F30" s="7" t="s">
        <v>1243</v>
      </c>
    </row>
    <row r="31" customFormat="false" ht="28" hidden="false" customHeight="true" outlineLevel="0" collapsed="false">
      <c r="A31" s="11" t="s">
        <v>1244</v>
      </c>
      <c r="B31" s="12" t="n">
        <f aca="false">2*B7/B15</f>
        <v>168</v>
      </c>
      <c r="C31" s="5" t="s">
        <v>150</v>
      </c>
      <c r="D31" s="6" t="s">
        <v>1245</v>
      </c>
      <c r="E31" s="6" t="s">
        <v>1015</v>
      </c>
      <c r="F31" s="7" t="s">
        <v>1246</v>
      </c>
    </row>
    <row r="32" customFormat="false" ht="28" hidden="false" customHeight="true" outlineLevel="0" collapsed="false">
      <c r="A32" s="11" t="s">
        <v>263</v>
      </c>
      <c r="B32" s="12" t="n">
        <f aca="false">B25/SQRT(12)</f>
        <v>2.3094010767585</v>
      </c>
      <c r="C32" s="5" t="s">
        <v>247</v>
      </c>
      <c r="D32" s="6" t="s">
        <v>850</v>
      </c>
      <c r="E32" s="6" t="s">
        <v>851</v>
      </c>
      <c r="F32" s="7" t="s">
        <v>542</v>
      </c>
    </row>
    <row r="33" customFormat="false" ht="28" hidden="false" customHeight="true" outlineLevel="0" collapsed="false">
      <c r="A33" s="11" t="s">
        <v>1017</v>
      </c>
      <c r="B33" s="12" t="n">
        <f aca="false">(B25/(16*(B10*1000)*(B8*(B12/100))))*1000000</f>
        <v>20.8333333333333</v>
      </c>
      <c r="C33" s="5" t="s">
        <v>272</v>
      </c>
      <c r="D33" s="6" t="s">
        <v>1150</v>
      </c>
      <c r="E33" s="6" t="s">
        <v>1151</v>
      </c>
      <c r="F33" s="7" t="s">
        <v>708</v>
      </c>
    </row>
    <row r="34" customFormat="false" ht="28" hidden="false" customHeight="true" outlineLevel="0" collapsed="false">
      <c r="A34" s="11" t="s">
        <v>709</v>
      </c>
      <c r="B34" s="12" t="n">
        <f aca="false">((B8*(B12/100))/B25)*1000</f>
        <v>30</v>
      </c>
      <c r="C34" s="5" t="s">
        <v>199</v>
      </c>
      <c r="D34" s="6" t="s">
        <v>856</v>
      </c>
      <c r="E34" s="6" t="s">
        <v>857</v>
      </c>
      <c r="F34" s="7" t="s">
        <v>858</v>
      </c>
    </row>
    <row r="35" customFormat="false" ht="26" hidden="false" customHeight="true" outlineLevel="0" collapsed="false">
      <c r="A35" s="13" t="s">
        <v>280</v>
      </c>
      <c r="B35" s="13"/>
      <c r="C35" s="13"/>
      <c r="D35" s="13"/>
      <c r="E35" s="13"/>
      <c r="F35" s="13"/>
    </row>
    <row r="36" customFormat="false" ht="28" hidden="false" customHeight="true" outlineLevel="0" collapsed="false">
      <c r="A36" s="11" t="s">
        <v>1247</v>
      </c>
      <c r="B36" s="12" t="n">
        <f aca="false">((B6*B23)/(4*(B9/B15)*(B10*1000)))*1000000</f>
        <v>6.01875</v>
      </c>
      <c r="C36" s="5" t="s">
        <v>238</v>
      </c>
      <c r="D36" s="6" t="s">
        <v>1248</v>
      </c>
      <c r="E36" s="6" t="s">
        <v>1249</v>
      </c>
      <c r="F36" s="7" t="s">
        <v>1250</v>
      </c>
    </row>
    <row r="37" customFormat="false" ht="28" hidden="false" customHeight="true" outlineLevel="0" collapsed="false">
      <c r="A37" s="11" t="s">
        <v>1251</v>
      </c>
      <c r="B37" s="12" t="n">
        <f aca="false">B15*SQRT((2*(350/1000000000000)*(B7^2))/(B36/1000000))</f>
        <v>22.6472337441393</v>
      </c>
      <c r="C37" s="5" t="s">
        <v>167</v>
      </c>
      <c r="D37" s="6" t="s">
        <v>1252</v>
      </c>
      <c r="E37" s="6" t="s">
        <v>1253</v>
      </c>
      <c r="F37" s="7" t="s">
        <v>1254</v>
      </c>
    </row>
    <row r="38" customFormat="false" ht="28" hidden="false" customHeight="true" outlineLevel="0" collapsed="false">
      <c r="A38" s="11" t="s">
        <v>1255</v>
      </c>
      <c r="B38" s="12" t="n">
        <f aca="false">(1.570796*SQRT((B36/1000000)*(700/1000000000000)))*1000000000</f>
        <v>101.958152862601</v>
      </c>
      <c r="C38" s="5" t="s">
        <v>785</v>
      </c>
      <c r="D38" s="6" t="s">
        <v>1256</v>
      </c>
      <c r="E38" s="6" t="s">
        <v>1257</v>
      </c>
      <c r="F38" s="7" t="s">
        <v>1258</v>
      </c>
    </row>
    <row r="39" customFormat="false" ht="28" hidden="false" customHeight="true" outlineLevel="0" collapsed="false">
      <c r="A39" s="11" t="s">
        <v>1259</v>
      </c>
      <c r="B39" s="12" t="n">
        <f aca="false">(B24/(2*B10*1000))*1000000</f>
        <v>4.06265625</v>
      </c>
      <c r="C39" s="5" t="s">
        <v>922</v>
      </c>
      <c r="D39" s="6" t="s">
        <v>1260</v>
      </c>
      <c r="E39" s="6" t="s">
        <v>1261</v>
      </c>
      <c r="F39" s="7" t="s">
        <v>1262</v>
      </c>
    </row>
    <row r="40" customFormat="false" ht="28" hidden="false" customHeight="true" outlineLevel="0" collapsed="false">
      <c r="A40" s="11" t="s">
        <v>1024</v>
      </c>
      <c r="B40" s="12" t="n">
        <f aca="false">(B20/(0.32*(2*B17)*(B18*1000000)*(B10*1000)))*100000000</f>
        <v>2.66666666666667</v>
      </c>
      <c r="C40" s="5" t="s">
        <v>286</v>
      </c>
      <c r="D40" s="6" t="s">
        <v>1105</v>
      </c>
      <c r="E40" s="6" t="s">
        <v>1025</v>
      </c>
      <c r="F40" s="7" t="s">
        <v>1263</v>
      </c>
    </row>
    <row r="41" customFormat="false" ht="28" hidden="false" customHeight="true" outlineLevel="0" collapsed="false">
      <c r="A41" s="11" t="s">
        <v>1264</v>
      </c>
      <c r="B41" s="12" t="n">
        <f aca="false">4*(B29^2)*(B16/1000)</f>
        <v>5.76</v>
      </c>
      <c r="C41" s="5" t="s">
        <v>215</v>
      </c>
      <c r="D41" s="6" t="s">
        <v>1265</v>
      </c>
      <c r="E41" s="6" t="s">
        <v>1201</v>
      </c>
      <c r="F41" s="7" t="s">
        <v>1266</v>
      </c>
    </row>
    <row r="42" customFormat="false" ht="28" hidden="false" customHeight="true" outlineLevel="0" collapsed="false">
      <c r="A42" s="11" t="s">
        <v>1267</v>
      </c>
      <c r="B42" s="12" t="n">
        <f aca="false">B9*B13</f>
        <v>6</v>
      </c>
      <c r="C42" s="5" t="s">
        <v>215</v>
      </c>
      <c r="D42" s="6" t="s">
        <v>1268</v>
      </c>
      <c r="E42" s="6" t="s">
        <v>1269</v>
      </c>
      <c r="F42" s="7" t="s">
        <v>1270</v>
      </c>
    </row>
    <row r="43" customFormat="false" ht="28" hidden="false" customHeight="true" outlineLevel="0" collapsed="false">
      <c r="A43" s="11" t="s">
        <v>1271</v>
      </c>
      <c r="B43" s="12" t="n">
        <f aca="false">4*(B15^2)*(B36/1000000)*(B10*1000)</f>
        <v>60.1875</v>
      </c>
      <c r="C43" s="5" t="s">
        <v>722</v>
      </c>
      <c r="D43" s="6" t="s">
        <v>1272</v>
      </c>
      <c r="E43" s="6" t="s">
        <v>1273</v>
      </c>
      <c r="F43" s="7" t="s">
        <v>1274</v>
      </c>
    </row>
    <row r="44" customFormat="false" ht="28" hidden="false" customHeight="true" outlineLevel="0" collapsed="false">
      <c r="A44" s="11" t="s">
        <v>310</v>
      </c>
      <c r="B44" s="12" t="n">
        <f aca="false">B20*(100/B14 - 1)</f>
        <v>80.0000000000001</v>
      </c>
      <c r="C44" s="5" t="s">
        <v>215</v>
      </c>
      <c r="D44" s="6" t="s">
        <v>311</v>
      </c>
      <c r="E44" s="6" t="s">
        <v>312</v>
      </c>
      <c r="F44" s="7" t="s">
        <v>467</v>
      </c>
    </row>
    <row r="45" customFormat="false" ht="28" hidden="false" customHeight="true" outlineLevel="0" collapsed="false">
      <c r="A45" s="11" t="s">
        <v>1275</v>
      </c>
      <c r="B45" s="12" t="n">
        <f aca="false">B9/B18</f>
        <v>8.88888888888889</v>
      </c>
      <c r="C45" s="5" t="s">
        <v>320</v>
      </c>
      <c r="D45" s="6" t="s">
        <v>890</v>
      </c>
      <c r="E45" s="6" t="s">
        <v>891</v>
      </c>
      <c r="F45" s="7" t="s">
        <v>1276</v>
      </c>
    </row>
  </sheetData>
  <mergeCells count="5">
    <mergeCell ref="A1:F1"/>
    <mergeCell ref="A2:F2"/>
    <mergeCell ref="A4:F4"/>
    <mergeCell ref="A19:F19"/>
    <mergeCell ref="A35:F3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cp:revision>0</cp:revision>
  <dc:subject/>
  <dc:title/>
</cp:coreProperties>
</file>